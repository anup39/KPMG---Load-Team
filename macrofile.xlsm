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Data Transfer\PSPCL\Consolidated Input file\"/>
    </mc:Choice>
  </mc:AlternateContent>
  <bookViews>
    <workbookView xWindow="240" yWindow="120" windowWidth="20115" windowHeight="7995" activeTab="1"/>
  </bookViews>
  <sheets>
    <sheet name="Sheet1" sheetId="1" r:id="rId1"/>
    <sheet name="Sheet2" sheetId="2" r:id="rId2"/>
    <sheet name="Sheet3" sheetId="3" r:id="rId3"/>
    <sheet name="Multi_Period" sheetId="4" r:id="rId4"/>
  </sheets>
  <definedNames>
    <definedName name="_xlnm._FilterDatabase" localSheetId="2" hidden="1">Sheet3!$E$1:$J$385</definedName>
    <definedName name="DT">Sheet1!$C$1</definedName>
  </definedNames>
  <calcPr calcId="152511"/>
  <pivotCaches>
    <pivotCache cacheId="0" r:id="rId5"/>
    <pivotCache cacheId="1" r:id="rId6"/>
    <pivotCache cacheId="2" r:id="rId7"/>
    <pivotCache cacheId="15" r:id="rId8"/>
  </pivotCaches>
</workbook>
</file>

<file path=xl/calcChain.xml><?xml version="1.0" encoding="utf-8"?>
<calcChain xmlns="http://schemas.openxmlformats.org/spreadsheetml/2006/main">
  <c r="C1" i="1" l="1"/>
  <c r="CH98" i="2" l="1"/>
  <c r="N98" i="2"/>
  <c r="M98" i="2"/>
  <c r="L98" i="2"/>
  <c r="K98" i="2" l="1"/>
  <c r="J98" i="2"/>
  <c r="CG98" i="2"/>
  <c r="CF98" i="2"/>
  <c r="CE98" i="2"/>
  <c r="I98" i="2"/>
  <c r="CD98" i="2"/>
  <c r="CC98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 l="1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</calcChain>
</file>

<file path=xl/sharedStrings.xml><?xml version="1.0" encoding="utf-8"?>
<sst xmlns="http://schemas.openxmlformats.org/spreadsheetml/2006/main" count="3309" uniqueCount="515">
  <si>
    <t xml:space="preserve">Enter  Yesterday Date: - </t>
  </si>
  <si>
    <t>Blocks</t>
  </si>
  <si>
    <t>Date</t>
  </si>
  <si>
    <t>Block</t>
  </si>
  <si>
    <t>Year1</t>
  </si>
  <si>
    <t>Arfima1</t>
  </si>
  <si>
    <t>Arfima2</t>
  </si>
  <si>
    <t>SVM</t>
  </si>
  <si>
    <t>NewFF1</t>
  </si>
  <si>
    <t>FF2</t>
  </si>
  <si>
    <t>Year2</t>
  </si>
  <si>
    <t>X2arfima1</t>
  </si>
  <si>
    <t>X2arfima2</t>
  </si>
  <si>
    <t>X2svm</t>
  </si>
  <si>
    <t>AW_GBM_Consolidated</t>
  </si>
  <si>
    <t>AW_GBM_GAMSpec</t>
  </si>
  <si>
    <t>AW_GBM_GAMSpec_Ori</t>
  </si>
  <si>
    <t>AW_RF_Consolidated</t>
  </si>
  <si>
    <t>AW_RF_GAMSpec</t>
  </si>
  <si>
    <t>AW_RF_GAMSpec_Ori</t>
  </si>
  <si>
    <t>AW_Reg.No.Lag</t>
  </si>
  <si>
    <t>AW_Reg.Lag1</t>
  </si>
  <si>
    <t>AW_Reg.Lag2</t>
  </si>
  <si>
    <t>ANN_AW_Rules</t>
  </si>
  <si>
    <t>RF_AW_Rules</t>
  </si>
  <si>
    <t>M1</t>
  </si>
  <si>
    <t>0000-0015</t>
  </si>
  <si>
    <t>0015-0030</t>
  </si>
  <si>
    <t>0030-0045</t>
  </si>
  <si>
    <t>0045-0100</t>
  </si>
  <si>
    <t>0100-0115</t>
  </si>
  <si>
    <t>0115-0130</t>
  </si>
  <si>
    <t>0130-0145</t>
  </si>
  <si>
    <t>0145-0200</t>
  </si>
  <si>
    <t>0200-0215</t>
  </si>
  <si>
    <t>0215-0230</t>
  </si>
  <si>
    <t>0230-0245</t>
  </si>
  <si>
    <t>0245-0300</t>
  </si>
  <si>
    <t>0300-0315</t>
  </si>
  <si>
    <t>0315-0330</t>
  </si>
  <si>
    <t>0330-0345</t>
  </si>
  <si>
    <t>0345-0400</t>
  </si>
  <si>
    <t>M2</t>
  </si>
  <si>
    <t>0400-0415</t>
  </si>
  <si>
    <t>0415-0430</t>
  </si>
  <si>
    <t>0430-0445</t>
  </si>
  <si>
    <t>0445-0500</t>
  </si>
  <si>
    <t>0500-0515</t>
  </si>
  <si>
    <t>NA</t>
  </si>
  <si>
    <t>0515-0530</t>
  </si>
  <si>
    <t>0530-0545</t>
  </si>
  <si>
    <t>0545-0600</t>
  </si>
  <si>
    <t>M3</t>
  </si>
  <si>
    <t>0600-0615</t>
  </si>
  <si>
    <t>0615-0630</t>
  </si>
  <si>
    <t>0630-0645</t>
  </si>
  <si>
    <t>0645-0700</t>
  </si>
  <si>
    <t>0700-0715</t>
  </si>
  <si>
    <t>0715-0730</t>
  </si>
  <si>
    <t>0730-0745</t>
  </si>
  <si>
    <t>0745-0800</t>
  </si>
  <si>
    <t>M3A</t>
  </si>
  <si>
    <t>0800-0815</t>
  </si>
  <si>
    <t>0815-0830</t>
  </si>
  <si>
    <t>0830-0845</t>
  </si>
  <si>
    <t>0845-0900</t>
  </si>
  <si>
    <t>M4</t>
  </si>
  <si>
    <t>0900-0915</t>
  </si>
  <si>
    <t>0915-0930</t>
  </si>
  <si>
    <t>0930-0945</t>
  </si>
  <si>
    <t>0945-1000</t>
  </si>
  <si>
    <t>M4A</t>
  </si>
  <si>
    <t>1000-1015</t>
  </si>
  <si>
    <t>1015-1030</t>
  </si>
  <si>
    <t>1030-1045</t>
  </si>
  <si>
    <t>1045-1100</t>
  </si>
  <si>
    <t>1100-1115</t>
  </si>
  <si>
    <t>1115-1130</t>
  </si>
  <si>
    <t>1130-1145</t>
  </si>
  <si>
    <t>1145-1200</t>
  </si>
  <si>
    <t>M5</t>
  </si>
  <si>
    <t>1200-1215</t>
  </si>
  <si>
    <t>1215-1230</t>
  </si>
  <si>
    <t>1230-1245</t>
  </si>
  <si>
    <t>1245-1300</t>
  </si>
  <si>
    <t>1300-1315</t>
  </si>
  <si>
    <t>1315-1330</t>
  </si>
  <si>
    <t>1330-1345</t>
  </si>
  <si>
    <t>1345-1400</t>
  </si>
  <si>
    <t>M6</t>
  </si>
  <si>
    <t>1400-1415</t>
  </si>
  <si>
    <t>1415-1430</t>
  </si>
  <si>
    <t>1430-1445</t>
  </si>
  <si>
    <t>1445-1500</t>
  </si>
  <si>
    <t>1500-1515</t>
  </si>
  <si>
    <t>1515-1530</t>
  </si>
  <si>
    <t>1530-1545</t>
  </si>
  <si>
    <t>1545-1600</t>
  </si>
  <si>
    <t>1600-1615</t>
  </si>
  <si>
    <t>1615-1630</t>
  </si>
  <si>
    <t>1630-1645</t>
  </si>
  <si>
    <t>1645-1700</t>
  </si>
  <si>
    <t>M7</t>
  </si>
  <si>
    <t>1700-1715</t>
  </si>
  <si>
    <t>1715-1730</t>
  </si>
  <si>
    <t>1730-1745</t>
  </si>
  <si>
    <t>1745-1800</t>
  </si>
  <si>
    <t>1800-1815</t>
  </si>
  <si>
    <t>1815-1830</t>
  </si>
  <si>
    <t>M8</t>
  </si>
  <si>
    <t>1830-1845</t>
  </si>
  <si>
    <t>1845-1900</t>
  </si>
  <si>
    <t>1900-1915</t>
  </si>
  <si>
    <t>1915-1930</t>
  </si>
  <si>
    <t>1930-1945</t>
  </si>
  <si>
    <t>1945-2000</t>
  </si>
  <si>
    <t>2000-2015</t>
  </si>
  <si>
    <t>2015-2030</t>
  </si>
  <si>
    <t>2030-2045</t>
  </si>
  <si>
    <t>2045-2100</t>
  </si>
  <si>
    <t>2100-2115</t>
  </si>
  <si>
    <t>2115-2130</t>
  </si>
  <si>
    <t>M9</t>
  </si>
  <si>
    <t>2130-2145</t>
  </si>
  <si>
    <t>2145-2200</t>
  </si>
  <si>
    <t>2200-2215</t>
  </si>
  <si>
    <t>2215-2230</t>
  </si>
  <si>
    <t>2230-2245</t>
  </si>
  <si>
    <t>2245-2300</t>
  </si>
  <si>
    <t>2300-2315</t>
  </si>
  <si>
    <t>2315-2330</t>
  </si>
  <si>
    <t>2330-2345</t>
  </si>
  <si>
    <t>2345-2400</t>
  </si>
  <si>
    <t>Row Labels</t>
  </si>
  <si>
    <t>Values</t>
  </si>
  <si>
    <t>Temperature</t>
  </si>
  <si>
    <t>Humidity</t>
  </si>
  <si>
    <t>CC</t>
  </si>
  <si>
    <t>TimeBlock</t>
  </si>
  <si>
    <t>Average of Temperature</t>
  </si>
  <si>
    <t>Average of Humidity</t>
  </si>
  <si>
    <t>Average of CC</t>
  </si>
  <si>
    <t>AW_GBM_NoLag</t>
  </si>
  <si>
    <t>AW_GBM_WeekDay</t>
  </si>
  <si>
    <t>AW_GBM_WeekDummy</t>
  </si>
  <si>
    <t>AW_GBM_LagWeather</t>
  </si>
  <si>
    <t>AW_GBM_Lag2Weather</t>
  </si>
  <si>
    <t>AW_GBM_Lag2Weather.1</t>
  </si>
  <si>
    <t>AW_GBM_GAMSpec_CC</t>
  </si>
  <si>
    <t>AW_RF_NoLag</t>
  </si>
  <si>
    <t>AW_RF_WeekDay</t>
  </si>
  <si>
    <t>AW_RF_WeekDummy</t>
  </si>
  <si>
    <t>AW_RF_LagWeather</t>
  </si>
  <si>
    <t>AW_RF_Lag2Weather</t>
  </si>
  <si>
    <t>AW_RF_Lag2WeekDummy</t>
  </si>
  <si>
    <t>AW_RF_GAMSpec_CC</t>
  </si>
  <si>
    <t>AW_GBM_GAMSpec.1</t>
  </si>
  <si>
    <t>AW_RF_GAMSpec.1</t>
  </si>
  <si>
    <t>AW_GAMSpec_LongTrain</t>
  </si>
  <si>
    <t>AW_GAMSpec_ShortTrain</t>
  </si>
  <si>
    <t>AW_GAM_LW_LongTrain</t>
  </si>
  <si>
    <t>AW_GAM_LW_ShortTrain</t>
  </si>
  <si>
    <t>WU_GBM_NoLag</t>
  </si>
  <si>
    <t>WU_GBM_WeekDay</t>
  </si>
  <si>
    <t>WU_GBM_WeekDummy</t>
  </si>
  <si>
    <t>WU_GBM_LagWeather</t>
  </si>
  <si>
    <t>WU_GBM_Lag2Weather</t>
  </si>
  <si>
    <t>WU_GBM_Lag2Weather.1</t>
  </si>
  <si>
    <t>WU_GBM_GAMSpec_CC</t>
  </si>
  <si>
    <t>WU_GBM_GAMSpec</t>
  </si>
  <si>
    <t>WU_RF_NoLag</t>
  </si>
  <si>
    <t>WU_RF_WeekDay</t>
  </si>
  <si>
    <t>WU_RF_WeekDummy</t>
  </si>
  <si>
    <t>WU_RF_LagWeather</t>
  </si>
  <si>
    <t>WU_RF_Lag2Weather</t>
  </si>
  <si>
    <t>WU_RF_Lag2WeekDummy</t>
  </si>
  <si>
    <t>WU_RF_GAMSpec_CC</t>
  </si>
  <si>
    <t>WU_RF_GAMSpec</t>
  </si>
  <si>
    <t>WU_GBM_Consolidated</t>
  </si>
  <si>
    <t>WU_GBM_GAMSpec.1</t>
  </si>
  <si>
    <t>WU_GBM_GAMSpec_Ori</t>
  </si>
  <si>
    <t>WU_RF_Consolidated</t>
  </si>
  <si>
    <t>WU_RF_GAMSpec.1</t>
  </si>
  <si>
    <t>WU_RF_GAMSpec_Ori</t>
  </si>
  <si>
    <t>WU_GAMSpec_LongTrain</t>
  </si>
  <si>
    <t>WU_GAMSpec_ShortTrain</t>
  </si>
  <si>
    <t>WU_GAM_LW_LongTrain</t>
  </si>
  <si>
    <t>WU_GAM_LW_ShortTrain</t>
  </si>
  <si>
    <t>WU_Reg.No.Lag</t>
  </si>
  <si>
    <t>WU_Reg.Lag1</t>
  </si>
  <si>
    <t>WU_Reg.Lag2</t>
  </si>
  <si>
    <t>ANN_WU_Rules</t>
  </si>
  <si>
    <t>RF_WU_Rules</t>
  </si>
  <si>
    <t>Final</t>
  </si>
  <si>
    <t>Sum of Final</t>
  </si>
  <si>
    <t>Weather UnderGround</t>
  </si>
  <si>
    <t xml:space="preserve">Accu Weather </t>
  </si>
  <si>
    <t>In this Page: Steps 1 to 3  &amp; Model Runs 1 to 8</t>
  </si>
  <si>
    <t>In this Page: Steps 1 to 4</t>
  </si>
  <si>
    <t>Block1</t>
  </si>
  <si>
    <t>Block2</t>
  </si>
  <si>
    <t>Block3</t>
  </si>
  <si>
    <t>Block4</t>
  </si>
  <si>
    <t>In this Page: Steps 1 to 7</t>
  </si>
  <si>
    <t>HW</t>
  </si>
  <si>
    <t>FF1</t>
  </si>
  <si>
    <t>Actual.Last.Day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</si>
  <si>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</si>
  <si>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</si>
  <si>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</si>
  <si>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</si>
  <si>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</si>
  <si>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</si>
  <si>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</si>
  <si>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</si>
  <si>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</si>
  <si>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</si>
  <si>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</si>
  <si>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</si>
  <si>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</si>
  <si>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</si>
  <si>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</si>
  <si>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</si>
  <si>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</si>
  <si>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</si>
  <si>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</si>
  <si>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</si>
  <si>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</si>
  <si>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</si>
  <si>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</si>
  <si>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</si>
  <si>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</si>
  <si>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</si>
  <si>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</si>
  <si>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</si>
  <si>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</si>
  <si>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</si>
  <si>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</si>
  <si>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</si>
  <si>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</si>
  <si>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</si>
  <si>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</si>
  <si>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</si>
  <si>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</si>
  <si>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</si>
  <si>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</si>
  <si>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</si>
  <si>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</si>
  <si>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</si>
  <si>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</si>
  <si>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</si>
  <si>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</si>
  <si>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</si>
  <si>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</si>
  <si>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</si>
  <si>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</si>
  <si>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</si>
  <si>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</si>
  <si>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</si>
  <si>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</si>
  <si>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</si>
  <si>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</si>
  <si>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</si>
  <si>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</si>
  <si>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</si>
  <si>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</si>
  <si>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</si>
  <si>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</si>
  <si>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</si>
  <si>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</si>
  <si>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</si>
  <si>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</si>
  <si>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</si>
  <si>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</si>
  <si>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</si>
  <si>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</si>
  <si>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</si>
  <si>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</si>
  <si>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</si>
  <si>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</si>
  <si>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</si>
  <si>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</si>
  <si>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</si>
  <si>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</si>
  <si>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</si>
  <si>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</si>
  <si>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</si>
  <si>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</si>
  <si>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</si>
  <si>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</si>
  <si>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</si>
  <si>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</si>
  <si>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</si>
  <si>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</si>
  <si>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</si>
  <si>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</si>
  <si>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</si>
  <si>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</si>
  <si>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</si>
  <si>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</si>
  <si>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</si>
  <si>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</si>
  <si>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</si>
  <si>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</si>
  <si>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</si>
  <si>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</si>
  <si>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</si>
  <si>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</si>
  <si>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</si>
  <si>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</si>
  <si>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</si>
  <si>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</si>
  <si>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</si>
  <si>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</si>
  <si>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</si>
  <si>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</si>
  <si>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</si>
  <si>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</si>
  <si>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</si>
  <si>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</si>
  <si>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</si>
  <si>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</si>
  <si>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</si>
  <si>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</si>
  <si>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</si>
  <si>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</si>
  <si>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</si>
  <si>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</si>
  <si>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</si>
  <si>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</si>
  <si>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</si>
  <si>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</si>
  <si>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</si>
  <si>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</si>
  <si>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</si>
  <si>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</si>
  <si>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</si>
  <si>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</si>
  <si>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</si>
  <si>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</si>
  <si>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</si>
  <si>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</si>
  <si>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</si>
  <si>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</si>
  <si>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</si>
  <si>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</si>
  <si>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</si>
  <si>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</si>
  <si>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</si>
  <si>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</si>
  <si>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</si>
  <si>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</si>
  <si>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</si>
  <si>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</si>
  <si>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</si>
  <si>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</si>
  <si>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</si>
  <si>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</si>
  <si>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</si>
  <si>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</si>
  <si>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</si>
  <si>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</si>
  <si>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</si>
  <si>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</si>
  <si>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</si>
  <si>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</si>
  <si>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</si>
  <si>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</si>
  <si>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</si>
  <si>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</si>
  <si>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</si>
  <si>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</si>
  <si>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</si>
  <si>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</si>
  <si>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</si>
  <si>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</si>
  <si>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</si>
  <si>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</si>
  <si>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</si>
  <si>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</si>
  <si>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</si>
  <si>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</si>
  <si>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</si>
  <si>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</si>
  <si>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</si>
  <si>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</si>
  <si>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</si>
  <si>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</si>
  <si>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</si>
  <si>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</si>
  <si>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</si>
  <si>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</si>
  <si>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</si>
  <si>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</si>
  <si>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</si>
  <si>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</si>
  <si>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</si>
  <si>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</si>
  <si>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</si>
  <si>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</si>
  <si>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</si>
  <si>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</si>
  <si>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</si>
  <si>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</si>
  <si>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</si>
  <si>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</si>
  <si>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</si>
  <si>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</si>
  <si>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</si>
  <si>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</si>
  <si>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</si>
  <si>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</si>
  <si>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</si>
  <si>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</si>
  <si>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</si>
  <si>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</si>
  <si>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</si>
  <si>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</si>
  <si>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</si>
  <si>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</si>
  <si>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</si>
  <si>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</si>
  <si>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</si>
  <si>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</si>
  <si>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</si>
  <si>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</si>
  <si>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</si>
  <si>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</si>
  <si>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</si>
  <si>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</si>
  <si>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</si>
  <si>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</si>
  <si>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</si>
  <si>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</si>
  <si>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</si>
  <si>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</si>
  <si>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</si>
  <si>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</si>
  <si>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</si>
  <si>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</si>
  <si>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</si>
  <si>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</si>
  <si>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</si>
  <si>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</si>
  <si>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</si>
  <si>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</si>
  <si>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</si>
  <si>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</si>
  <si>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</si>
  <si>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</si>
  <si>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</si>
  <si>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</si>
  <si>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</si>
  <si>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</si>
  <si>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</si>
  <si>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</si>
  <si>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</si>
  <si>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</si>
  <si>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</si>
  <si>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</si>
  <si>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</si>
  <si>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</si>
  <si>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</si>
  <si>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</si>
  <si>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</si>
  <si>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</si>
  <si>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</si>
  <si>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</si>
  <si>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</si>
  <si>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</si>
  <si>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</si>
  <si>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</si>
  <si>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</si>
  <si>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</si>
  <si>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</si>
  <si>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</si>
  <si>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</si>
  <si>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</si>
  <si>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</si>
  <si>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</si>
  <si>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</si>
  <si>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</si>
  <si>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</si>
  <si>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</si>
  <si>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</si>
  <si>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</si>
  <si>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</si>
  <si>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</si>
  <si>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</si>
  <si>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</si>
  <si>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</si>
  <si>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</si>
  <si>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</si>
  <si>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</si>
  <si>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</si>
  <si>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Sum of Actual.Last.Day</t>
  </si>
  <si>
    <t>Sum of HW</t>
  </si>
  <si>
    <t>Sum of FF1</t>
  </si>
  <si>
    <t>Sum of SVM</t>
  </si>
  <si>
    <t>Sum of Arfima1</t>
  </si>
  <si>
    <t>Sum of Arfima2</t>
  </si>
  <si>
    <t>02/11/2015</t>
  </si>
  <si>
    <t>02/12/2015</t>
  </si>
  <si>
    <t>02/13/2015</t>
  </si>
  <si>
    <t>D:\Data Transfer\PSPCL\Consolidated Input file\Univariate\Email\February 2015\For 12.02.2015\DIR.SHEET DATED 11.02.2015.xls</t>
  </si>
  <si>
    <t>Enter Hours:</t>
  </si>
  <si>
    <t>0600</t>
  </si>
  <si>
    <t>Sum of ANN_AW_Rules</t>
  </si>
  <si>
    <t>"Combination"</t>
  </si>
  <si>
    <t>Sum of 21-Feb</t>
  </si>
  <si>
    <t>Sum of 19-Feb</t>
  </si>
  <si>
    <t>Sum of X2arfima2</t>
  </si>
  <si>
    <t>"15 Feb 2015"</t>
  </si>
  <si>
    <t>Sum of "Combination"</t>
  </si>
  <si>
    <t>D:\Data Transfer\PSPCL\Consolidated Input file\Univariate\Email\February 2015\For 25.02.2015\DIR. SHEET. UP TO 0600 HRS.xls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</si>
</sst>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49" fontId="0" fillId="0" borderId="0" xfId="0" applyNumberFormat="1"/>
    <xf numFmtId="14" fontId="0" fillId="0" borderId="1" xfId="0" applyNumberFormat="1" applyBorder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horizontal="left" indent="1"/>
    </xf>
    <xf numFmtId="15" fontId="0" fillId="0" borderId="0" xfId="0" applyNumberFormat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16" fontId="0" fillId="0" borderId="0" xfId="0" applyNumberFormat="1"/>
    <xf numFmtId="0" fontId="3" fillId="0" borderId="0" xfId="0" applyFont="1" applyAlignment="1">
      <alignment horizontal="left"/>
    </xf>
    <xf numFmtId="0" fontId="5" fillId="0" borderId="0" xfId="1" applyAlignment="1" applyProtection="1"/>
    <xf numFmtId="49" fontId="0" fillId="0" borderId="1" xfId="0" applyNumberFormat="1" applyBorder="1"/>
    <xf numFmtId="0" fontId="4" fillId="4" borderId="0" xfId="0" applyFont="1" applyFill="1" applyAlignment="1">
      <alignment horizontal="left" vertical="center"/>
    </xf>
    <xf numFmtId="0" fontId="2" fillId="0" borderId="0" xfId="0" applyFont="1" applyAlignment="1">
      <alignment horizontal="left"/>
    </xf>
    <xf numFmtId="0" fontId="2" fillId="4" borderId="0" xfId="0" applyFont="1" applyFill="1" applyAlignment="1">
      <alignment horizontal="left"/>
    </xf>
    <xf numFmtId="0" fontId="1" fillId="3" borderId="5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[macrofile.xlsm]Sheet2!PivotTable1</c:name>
    <c:fmtId val="0"/>
  </c:pivotSource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Model Comparison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</c:pivotFmt>
      <c:pivotFmt>
        <c:idx val="8"/>
        <c:spPr>
          <a:ln w="38100">
            <a:solidFill>
              <a:srgbClr val="FF0000"/>
            </a:solidFill>
          </a:ln>
        </c:spPr>
        <c:marker>
          <c:symbol val="none"/>
        </c:marker>
      </c:pivotFmt>
      <c:pivotFmt>
        <c:idx val="9"/>
        <c:spPr>
          <a:ln w="38100">
            <a:solidFill>
              <a:srgbClr val="FF0000"/>
            </a:solidFill>
          </a:ln>
        </c:spPr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spPr>
          <a:ln>
            <a:solidFill>
              <a:srgbClr val="FF0000"/>
            </a:solidFill>
          </a:ln>
        </c:spPr>
        <c:marker>
          <c:spPr>
            <a:ln>
              <a:solidFill>
                <a:srgbClr val="FF0000"/>
              </a:solidFill>
            </a:ln>
          </c:spPr>
        </c:marker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</c:pivotFmts>
    <c:plotArea>
      <c:layout>
        <c:manualLayout>
          <c:layoutTarget val="inner"/>
          <c:xMode val="edge"/>
          <c:yMode val="edge"/>
          <c:x val="0.10015507436570428"/>
          <c:y val="0.12283573928259225"/>
          <c:w val="0.86928937007874063"/>
          <c:h val="0.56210520559930865"/>
        </c:manualLayout>
      </c:layout>
      <c:lineChart>
        <c:grouping val="standard"/>
        <c:varyColors val="0"/>
        <c:ser>
          <c:idx val="0"/>
          <c:order val="0"/>
          <c:tx>
            <c:strRef>
              <c:f>Sheet2!$CK$3:$CK$4</c:f>
              <c:strCache>
                <c:ptCount val="1"/>
                <c:pt idx="0">
                  <c:v>Sum of Final</c:v>
                </c:pt>
              </c:strCache>
            </c:strRef>
          </c:tx>
          <c:cat>
            <c:strRef>
              <c:f>Sheet2!$CJ$5:$CJ$100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Sheet2!$CK$5:$CK$100</c:f>
              <c:numCache>
                <c:formatCode>General</c:formatCode>
                <c:ptCount val="96"/>
                <c:pt idx="0">
                  <c:v>2927</c:v>
                </c:pt>
                <c:pt idx="1">
                  <c:v>2957</c:v>
                </c:pt>
                <c:pt idx="2">
                  <c:v>2931</c:v>
                </c:pt>
                <c:pt idx="3">
                  <c:v>2968</c:v>
                </c:pt>
                <c:pt idx="4">
                  <c:v>2945</c:v>
                </c:pt>
                <c:pt idx="5">
                  <c:v>2960</c:v>
                </c:pt>
                <c:pt idx="6">
                  <c:v>2944</c:v>
                </c:pt>
                <c:pt idx="7">
                  <c:v>2939</c:v>
                </c:pt>
                <c:pt idx="8">
                  <c:v>2944</c:v>
                </c:pt>
                <c:pt idx="9">
                  <c:v>2953</c:v>
                </c:pt>
                <c:pt idx="10">
                  <c:v>2980</c:v>
                </c:pt>
                <c:pt idx="11">
                  <c:v>2967</c:v>
                </c:pt>
                <c:pt idx="12">
                  <c:v>2958</c:v>
                </c:pt>
                <c:pt idx="13">
                  <c:v>2954</c:v>
                </c:pt>
                <c:pt idx="14">
                  <c:v>2952</c:v>
                </c:pt>
                <c:pt idx="15">
                  <c:v>2942</c:v>
                </c:pt>
                <c:pt idx="16">
                  <c:v>2941</c:v>
                </c:pt>
                <c:pt idx="17">
                  <c:v>3024</c:v>
                </c:pt>
                <c:pt idx="18">
                  <c:v>3077</c:v>
                </c:pt>
                <c:pt idx="19">
                  <c:v>3144</c:v>
                </c:pt>
                <c:pt idx="20">
                  <c:v>3225.39559811051</c:v>
                </c:pt>
                <c:pt idx="21">
                  <c:v>3303.5839221943402</c:v>
                </c:pt>
                <c:pt idx="22">
                  <c:v>3370.7024892081199</c:v>
                </c:pt>
                <c:pt idx="23">
                  <c:v>3419.5875827118998</c:v>
                </c:pt>
                <c:pt idx="24">
                  <c:v>3515.85147025676</c:v>
                </c:pt>
                <c:pt idx="25">
                  <c:v>3585.8793582580802</c:v>
                </c:pt>
                <c:pt idx="26">
                  <c:v>3616.3422465920498</c:v>
                </c:pt>
                <c:pt idx="27">
                  <c:v>3673.4782470690002</c:v>
                </c:pt>
                <c:pt idx="28">
                  <c:v>3721.4180504005699</c:v>
                </c:pt>
                <c:pt idx="29">
                  <c:v>3730.8515905960098</c:v>
                </c:pt>
                <c:pt idx="30">
                  <c:v>3680.4993626513801</c:v>
                </c:pt>
                <c:pt idx="31">
                  <c:v>3664.76495255277</c:v>
                </c:pt>
                <c:pt idx="32">
                  <c:v>3774.43577034891</c:v>
                </c:pt>
                <c:pt idx="33">
                  <c:v>3799.2307250901299</c:v>
                </c:pt>
                <c:pt idx="34">
                  <c:v>3802.35624825689</c:v>
                </c:pt>
                <c:pt idx="35">
                  <c:v>3887.3866111549301</c:v>
                </c:pt>
                <c:pt idx="36">
                  <c:v>4045.0595426539098</c:v>
                </c:pt>
                <c:pt idx="37">
                  <c:v>4131.7809081652904</c:v>
                </c:pt>
                <c:pt idx="38">
                  <c:v>3931.41938626295</c:v>
                </c:pt>
                <c:pt idx="39">
                  <c:v>3890.7341055182701</c:v>
                </c:pt>
                <c:pt idx="40">
                  <c:v>3865.4770577567501</c:v>
                </c:pt>
                <c:pt idx="41">
                  <c:v>3895.99558374564</c:v>
                </c:pt>
                <c:pt idx="42">
                  <c:v>3879.81923129182</c:v>
                </c:pt>
                <c:pt idx="43">
                  <c:v>3900.0235409495299</c:v>
                </c:pt>
                <c:pt idx="44">
                  <c:v>4083.7036993962402</c:v>
                </c:pt>
                <c:pt idx="45">
                  <c:v>4113.3232860818198</c:v>
                </c:pt>
                <c:pt idx="46">
                  <c:v>4073.68685343691</c:v>
                </c:pt>
                <c:pt idx="47">
                  <c:v>4096.00281994129</c:v>
                </c:pt>
                <c:pt idx="48">
                  <c:v>4066.6927665254998</c:v>
                </c:pt>
                <c:pt idx="49">
                  <c:v>4063.0171214695101</c:v>
                </c:pt>
                <c:pt idx="50">
                  <c:v>4061.9485204627599</c:v>
                </c:pt>
                <c:pt idx="51">
                  <c:v>4073.0811353044801</c:v>
                </c:pt>
                <c:pt idx="52">
                  <c:v>3947.8001943074401</c:v>
                </c:pt>
                <c:pt idx="53">
                  <c:v>3970.6781101136698</c:v>
                </c:pt>
                <c:pt idx="54">
                  <c:v>3954.3491884901</c:v>
                </c:pt>
                <c:pt idx="55">
                  <c:v>4046.8136911503798</c:v>
                </c:pt>
                <c:pt idx="56">
                  <c:v>3994.8941449541298</c:v>
                </c:pt>
                <c:pt idx="57">
                  <c:v>4043.5725977668799</c:v>
                </c:pt>
                <c:pt idx="58">
                  <c:v>4038.0354697396401</c:v>
                </c:pt>
                <c:pt idx="59">
                  <c:v>4037.8138873971402</c:v>
                </c:pt>
                <c:pt idx="60">
                  <c:v>3985.4080998484101</c:v>
                </c:pt>
                <c:pt idx="61">
                  <c:v>4078.04967289361</c:v>
                </c:pt>
                <c:pt idx="62">
                  <c:v>4139.2860412985701</c:v>
                </c:pt>
                <c:pt idx="63">
                  <c:v>4104.6184527238502</c:v>
                </c:pt>
                <c:pt idx="64">
                  <c:v>4060.1026369557499</c:v>
                </c:pt>
                <c:pt idx="65">
                  <c:v>4070.7287227655702</c:v>
                </c:pt>
                <c:pt idx="66">
                  <c:v>4080.9868814793199</c:v>
                </c:pt>
                <c:pt idx="67">
                  <c:v>4092.6249461699799</c:v>
                </c:pt>
                <c:pt idx="68">
                  <c:v>4113.2832833108596</c:v>
                </c:pt>
                <c:pt idx="69">
                  <c:v>4143.5825587828604</c:v>
                </c:pt>
                <c:pt idx="70">
                  <c:v>4148.5578745347602</c:v>
                </c:pt>
                <c:pt idx="71">
                  <c:v>4132.5686446378804</c:v>
                </c:pt>
                <c:pt idx="72">
                  <c:v>4075.3102590029698</c:v>
                </c:pt>
                <c:pt idx="73">
                  <c:v>4146.2487355715302</c:v>
                </c:pt>
                <c:pt idx="74">
                  <c:v>4183.6841974422896</c:v>
                </c:pt>
                <c:pt idx="75">
                  <c:v>4256.5286699319304</c:v>
                </c:pt>
                <c:pt idx="76">
                  <c:v>4229.5556386041699</c:v>
                </c:pt>
                <c:pt idx="77">
                  <c:v>4274.9543793046796</c:v>
                </c:pt>
                <c:pt idx="78">
                  <c:v>4148.0986378310899</c:v>
                </c:pt>
                <c:pt idx="79">
                  <c:v>4090.8430369183702</c:v>
                </c:pt>
                <c:pt idx="80">
                  <c:v>4015.5293540933399</c:v>
                </c:pt>
                <c:pt idx="81">
                  <c:v>3923.9390696027699</c:v>
                </c:pt>
                <c:pt idx="82">
                  <c:v>3894.6249711955302</c:v>
                </c:pt>
                <c:pt idx="83">
                  <c:v>3748.9723808614999</c:v>
                </c:pt>
                <c:pt idx="84">
                  <c:v>3532.7811755576899</c:v>
                </c:pt>
                <c:pt idx="85">
                  <c:v>3420.6392304435499</c:v>
                </c:pt>
                <c:pt idx="86">
                  <c:v>3204.37776613284</c:v>
                </c:pt>
                <c:pt idx="87">
                  <c:v>3201.0970315602599</c:v>
                </c:pt>
                <c:pt idx="88">
                  <c:v>3489.0333076584102</c:v>
                </c:pt>
                <c:pt idx="89">
                  <c:v>3527.5197278759501</c:v>
                </c:pt>
                <c:pt idx="90">
                  <c:v>3485.9611033224101</c:v>
                </c:pt>
                <c:pt idx="91">
                  <c:v>3275.7189075587298</c:v>
                </c:pt>
                <c:pt idx="92">
                  <c:v>3229.9981978442102</c:v>
                </c:pt>
                <c:pt idx="93">
                  <c:v>3209.41818719194</c:v>
                </c:pt>
                <c:pt idx="94">
                  <c:v>3155.1407541818298</c:v>
                </c:pt>
                <c:pt idx="95">
                  <c:v>3146.2346193113199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Sheet2!$CL$3:$CL$4</c:f>
              <c:strCache>
                <c:ptCount val="1"/>
                <c:pt idx="0">
                  <c:v>Sum of ANN_AW_Rules</c:v>
                </c:pt>
              </c:strCache>
            </c:strRef>
          </c:tx>
          <c:cat>
            <c:strRef>
              <c:f>Sheet2!$CJ$5:$CJ$100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Sheet2!$CL$5:$CL$100</c:f>
              <c:numCache>
                <c:formatCode>General</c:formatCode>
                <c:ptCount val="96"/>
                <c:pt idx="0">
                  <c:v>3226.6072064587402</c:v>
                </c:pt>
                <c:pt idx="1">
                  <c:v>3226.6072064587402</c:v>
                </c:pt>
                <c:pt idx="2">
                  <c:v>3226.6072064587402</c:v>
                </c:pt>
                <c:pt idx="3">
                  <c:v>3226.6072064587402</c:v>
                </c:pt>
                <c:pt idx="4">
                  <c:v>3209.3098602395899</c:v>
                </c:pt>
                <c:pt idx="5">
                  <c:v>3209.3098602395899</c:v>
                </c:pt>
                <c:pt idx="6">
                  <c:v>3209.3098602395899</c:v>
                </c:pt>
                <c:pt idx="7">
                  <c:v>3209.3098602395899</c:v>
                </c:pt>
                <c:pt idx="8">
                  <c:v>3151.6576398786101</c:v>
                </c:pt>
                <c:pt idx="9">
                  <c:v>3151.6576398786101</c:v>
                </c:pt>
                <c:pt idx="10">
                  <c:v>3151.6576398786101</c:v>
                </c:pt>
                <c:pt idx="11">
                  <c:v>3151.6576398786101</c:v>
                </c:pt>
                <c:pt idx="12">
                  <c:v>2956.2711473691002</c:v>
                </c:pt>
                <c:pt idx="13">
                  <c:v>2956.2711473691002</c:v>
                </c:pt>
                <c:pt idx="14">
                  <c:v>2956.2711473691002</c:v>
                </c:pt>
                <c:pt idx="15">
                  <c:v>2956.2711473691002</c:v>
                </c:pt>
                <c:pt idx="16">
                  <c:v>2825.5071151183602</c:v>
                </c:pt>
                <c:pt idx="17">
                  <c:v>2825.5071151183602</c:v>
                </c:pt>
                <c:pt idx="18">
                  <c:v>2825.5071151183602</c:v>
                </c:pt>
                <c:pt idx="19">
                  <c:v>2825.5071151183602</c:v>
                </c:pt>
                <c:pt idx="20">
                  <c:v>2834.2661049449598</c:v>
                </c:pt>
                <c:pt idx="21">
                  <c:v>2834.2661049449598</c:v>
                </c:pt>
                <c:pt idx="22">
                  <c:v>2834.2661049449598</c:v>
                </c:pt>
                <c:pt idx="23">
                  <c:v>2834.2661049449598</c:v>
                </c:pt>
                <c:pt idx="24">
                  <c:v>2941.18804040445</c:v>
                </c:pt>
                <c:pt idx="25">
                  <c:v>2941.18804040445</c:v>
                </c:pt>
                <c:pt idx="26">
                  <c:v>2941.18804040445</c:v>
                </c:pt>
                <c:pt idx="27">
                  <c:v>2941.18804040445</c:v>
                </c:pt>
                <c:pt idx="28">
                  <c:v>3235.8636567696199</c:v>
                </c:pt>
                <c:pt idx="29">
                  <c:v>3235.8636567696199</c:v>
                </c:pt>
                <c:pt idx="30">
                  <c:v>3235.8636567696199</c:v>
                </c:pt>
                <c:pt idx="31">
                  <c:v>3235.8636567696199</c:v>
                </c:pt>
                <c:pt idx="32">
                  <c:v>4674.4634010642103</c:v>
                </c:pt>
                <c:pt idx="33">
                  <c:v>4674.4634010642103</c:v>
                </c:pt>
                <c:pt idx="34">
                  <c:v>4674.4634010642103</c:v>
                </c:pt>
                <c:pt idx="35">
                  <c:v>4674.4634010642103</c:v>
                </c:pt>
                <c:pt idx="36">
                  <c:v>4205.6942805888302</c:v>
                </c:pt>
                <c:pt idx="37">
                  <c:v>4205.6942805888302</c:v>
                </c:pt>
                <c:pt idx="38">
                  <c:v>4205.6942805888302</c:v>
                </c:pt>
                <c:pt idx="39">
                  <c:v>4205.6942805888302</c:v>
                </c:pt>
                <c:pt idx="40">
                  <c:v>4309.48203403352</c:v>
                </c:pt>
                <c:pt idx="41">
                  <c:v>4309.48203403352</c:v>
                </c:pt>
                <c:pt idx="42">
                  <c:v>4309.48203403352</c:v>
                </c:pt>
                <c:pt idx="43">
                  <c:v>4309.48203403352</c:v>
                </c:pt>
                <c:pt idx="44">
                  <c:v>3873.2760326842599</c:v>
                </c:pt>
                <c:pt idx="45">
                  <c:v>3873.2760326842599</c:v>
                </c:pt>
                <c:pt idx="46">
                  <c:v>3873.2760326842599</c:v>
                </c:pt>
                <c:pt idx="47">
                  <c:v>3873.2760326842599</c:v>
                </c:pt>
                <c:pt idx="48">
                  <c:v>4650.0985600099402</c:v>
                </c:pt>
                <c:pt idx="49">
                  <c:v>4650.0985600099402</c:v>
                </c:pt>
                <c:pt idx="50">
                  <c:v>4650.0985600099402</c:v>
                </c:pt>
                <c:pt idx="51">
                  <c:v>4650.0985600099402</c:v>
                </c:pt>
                <c:pt idx="52">
                  <c:v>4670.6917204775</c:v>
                </c:pt>
                <c:pt idx="53">
                  <c:v>4670.6917204775</c:v>
                </c:pt>
                <c:pt idx="54">
                  <c:v>4670.6917204775</c:v>
                </c:pt>
                <c:pt idx="55">
                  <c:v>4670.6917204775</c:v>
                </c:pt>
                <c:pt idx="56">
                  <c:v>4963.3194497304603</c:v>
                </c:pt>
                <c:pt idx="57">
                  <c:v>4963.3194497304603</c:v>
                </c:pt>
                <c:pt idx="58">
                  <c:v>4963.3194497304603</c:v>
                </c:pt>
                <c:pt idx="59">
                  <c:v>4963.3194497304603</c:v>
                </c:pt>
                <c:pt idx="60">
                  <c:v>4965.16400037113</c:v>
                </c:pt>
                <c:pt idx="61">
                  <c:v>4965.16400037113</c:v>
                </c:pt>
                <c:pt idx="62">
                  <c:v>4965.16400037113</c:v>
                </c:pt>
                <c:pt idx="63">
                  <c:v>4965.16400037113</c:v>
                </c:pt>
                <c:pt idx="64">
                  <c:v>4949.7775142623896</c:v>
                </c:pt>
                <c:pt idx="65">
                  <c:v>4949.7775142623896</c:v>
                </c:pt>
                <c:pt idx="66">
                  <c:v>4949.7775142623896</c:v>
                </c:pt>
                <c:pt idx="67">
                  <c:v>4949.7775142623896</c:v>
                </c:pt>
                <c:pt idx="68">
                  <c:v>4598.2026002289404</c:v>
                </c:pt>
                <c:pt idx="69">
                  <c:v>4598.2026002289404</c:v>
                </c:pt>
                <c:pt idx="70">
                  <c:v>4598.2026002289404</c:v>
                </c:pt>
                <c:pt idx="71">
                  <c:v>4598.2026002289404</c:v>
                </c:pt>
                <c:pt idx="72">
                  <c:v>4570.2079541526</c:v>
                </c:pt>
                <c:pt idx="73">
                  <c:v>4570.2079541526</c:v>
                </c:pt>
                <c:pt idx="74">
                  <c:v>4735.4628451907101</c:v>
                </c:pt>
                <c:pt idx="75">
                  <c:v>4735.4628451907101</c:v>
                </c:pt>
                <c:pt idx="76">
                  <c:v>4682.01628854519</c:v>
                </c:pt>
                <c:pt idx="77">
                  <c:v>4682.01628854519</c:v>
                </c:pt>
                <c:pt idx="78">
                  <c:v>4682.01628854519</c:v>
                </c:pt>
                <c:pt idx="79">
                  <c:v>4682.01628854519</c:v>
                </c:pt>
                <c:pt idx="80">
                  <c:v>4581.1826210770596</c:v>
                </c:pt>
                <c:pt idx="81">
                  <c:v>4581.1826210770596</c:v>
                </c:pt>
                <c:pt idx="82">
                  <c:v>4581.1826210770596</c:v>
                </c:pt>
                <c:pt idx="83">
                  <c:v>4581.1826210770596</c:v>
                </c:pt>
                <c:pt idx="84">
                  <c:v>4408.3859457236904</c:v>
                </c:pt>
                <c:pt idx="85">
                  <c:v>4408.3859457236904</c:v>
                </c:pt>
                <c:pt idx="86">
                  <c:v>2842.8247606641899</c:v>
                </c:pt>
                <c:pt idx="87">
                  <c:v>2842.8247606641899</c:v>
                </c:pt>
                <c:pt idx="88">
                  <c:v>2905.0804179739598</c:v>
                </c:pt>
                <c:pt idx="89">
                  <c:v>2905.0804179739598</c:v>
                </c:pt>
                <c:pt idx="90">
                  <c:v>2905.0804179739598</c:v>
                </c:pt>
                <c:pt idx="91">
                  <c:v>2905.0804179739598</c:v>
                </c:pt>
                <c:pt idx="92">
                  <c:v>2938.7673448034502</c:v>
                </c:pt>
                <c:pt idx="93">
                  <c:v>2938.7673448034502</c:v>
                </c:pt>
                <c:pt idx="94">
                  <c:v>2938.7673448034502</c:v>
                </c:pt>
                <c:pt idx="95">
                  <c:v>2938.7673448034502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Sheet2!$CM$3:$CM$4</c:f>
              <c:strCache>
                <c:ptCount val="1"/>
                <c:pt idx="0">
                  <c:v>Sum of X2arfima2</c:v>
                </c:pt>
              </c:strCache>
            </c:strRef>
          </c:tx>
          <c:cat>
            <c:strRef>
              <c:f>Sheet2!$CJ$5:$CJ$100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Sheet2!$CM$5:$CM$100</c:f>
              <c:numCache>
                <c:formatCode>General</c:formatCode>
                <c:ptCount val="96"/>
                <c:pt idx="0">
                  <c:v>3050</c:v>
                </c:pt>
                <c:pt idx="1">
                  <c:v>3081</c:v>
                </c:pt>
                <c:pt idx="2">
                  <c:v>3064</c:v>
                </c:pt>
                <c:pt idx="3">
                  <c:v>3090</c:v>
                </c:pt>
                <c:pt idx="4">
                  <c:v>3077</c:v>
                </c:pt>
                <c:pt idx="5">
                  <c:v>3089</c:v>
                </c:pt>
                <c:pt idx="6">
                  <c:v>3087</c:v>
                </c:pt>
                <c:pt idx="7">
                  <c:v>3063</c:v>
                </c:pt>
                <c:pt idx="8">
                  <c:v>3040</c:v>
                </c:pt>
                <c:pt idx="9">
                  <c:v>3025</c:v>
                </c:pt>
                <c:pt idx="10">
                  <c:v>3012</c:v>
                </c:pt>
                <c:pt idx="11">
                  <c:v>3040</c:v>
                </c:pt>
                <c:pt idx="12">
                  <c:v>2982</c:v>
                </c:pt>
                <c:pt idx="13">
                  <c:v>2939</c:v>
                </c:pt>
                <c:pt idx="14">
                  <c:v>2905</c:v>
                </c:pt>
                <c:pt idx="15">
                  <c:v>2911</c:v>
                </c:pt>
                <c:pt idx="16">
                  <c:v>2936</c:v>
                </c:pt>
                <c:pt idx="17">
                  <c:v>3094</c:v>
                </c:pt>
                <c:pt idx="18">
                  <c:v>3135</c:v>
                </c:pt>
                <c:pt idx="19">
                  <c:v>3163</c:v>
                </c:pt>
                <c:pt idx="20">
                  <c:v>3239</c:v>
                </c:pt>
                <c:pt idx="21">
                  <c:v>3228</c:v>
                </c:pt>
                <c:pt idx="22">
                  <c:v>3290</c:v>
                </c:pt>
                <c:pt idx="23">
                  <c:v>3410</c:v>
                </c:pt>
                <c:pt idx="24">
                  <c:v>3521</c:v>
                </c:pt>
                <c:pt idx="25">
                  <c:v>3556</c:v>
                </c:pt>
                <c:pt idx="26">
                  <c:v>3609</c:v>
                </c:pt>
                <c:pt idx="27">
                  <c:v>3734</c:v>
                </c:pt>
                <c:pt idx="28">
                  <c:v>3866</c:v>
                </c:pt>
                <c:pt idx="29">
                  <c:v>3856</c:v>
                </c:pt>
                <c:pt idx="30">
                  <c:v>3764</c:v>
                </c:pt>
                <c:pt idx="31">
                  <c:v>3715</c:v>
                </c:pt>
                <c:pt idx="32">
                  <c:v>3892</c:v>
                </c:pt>
                <c:pt idx="33">
                  <c:v>3920</c:v>
                </c:pt>
                <c:pt idx="34">
                  <c:v>3935</c:v>
                </c:pt>
                <c:pt idx="35">
                  <c:v>3954</c:v>
                </c:pt>
                <c:pt idx="36">
                  <c:v>4124</c:v>
                </c:pt>
                <c:pt idx="37">
                  <c:v>4096</c:v>
                </c:pt>
                <c:pt idx="38">
                  <c:v>3990</c:v>
                </c:pt>
                <c:pt idx="39">
                  <c:v>3998</c:v>
                </c:pt>
                <c:pt idx="40">
                  <c:v>3956</c:v>
                </c:pt>
                <c:pt idx="41">
                  <c:v>3946</c:v>
                </c:pt>
                <c:pt idx="42">
                  <c:v>3941</c:v>
                </c:pt>
                <c:pt idx="43">
                  <c:v>3969</c:v>
                </c:pt>
                <c:pt idx="44">
                  <c:v>4095</c:v>
                </c:pt>
                <c:pt idx="45">
                  <c:v>4102</c:v>
                </c:pt>
                <c:pt idx="46">
                  <c:v>4043</c:v>
                </c:pt>
                <c:pt idx="47">
                  <c:v>4062</c:v>
                </c:pt>
                <c:pt idx="48">
                  <c:v>4066</c:v>
                </c:pt>
                <c:pt idx="49">
                  <c:v>4065</c:v>
                </c:pt>
                <c:pt idx="50">
                  <c:v>4046</c:v>
                </c:pt>
                <c:pt idx="51">
                  <c:v>4050</c:v>
                </c:pt>
                <c:pt idx="52">
                  <c:v>3855</c:v>
                </c:pt>
                <c:pt idx="53">
                  <c:v>3842</c:v>
                </c:pt>
                <c:pt idx="54">
                  <c:v>3893</c:v>
                </c:pt>
                <c:pt idx="55">
                  <c:v>3939</c:v>
                </c:pt>
                <c:pt idx="56">
                  <c:v>3953</c:v>
                </c:pt>
                <c:pt idx="57">
                  <c:v>4003</c:v>
                </c:pt>
                <c:pt idx="58">
                  <c:v>3990</c:v>
                </c:pt>
                <c:pt idx="59">
                  <c:v>3980</c:v>
                </c:pt>
                <c:pt idx="60">
                  <c:v>4058</c:v>
                </c:pt>
                <c:pt idx="61">
                  <c:v>4148</c:v>
                </c:pt>
                <c:pt idx="62">
                  <c:v>4146</c:v>
                </c:pt>
                <c:pt idx="63">
                  <c:v>4085</c:v>
                </c:pt>
                <c:pt idx="64">
                  <c:v>4145</c:v>
                </c:pt>
                <c:pt idx="65">
                  <c:v>4219</c:v>
                </c:pt>
                <c:pt idx="66">
                  <c:v>4207</c:v>
                </c:pt>
                <c:pt idx="67">
                  <c:v>4220</c:v>
                </c:pt>
                <c:pt idx="68">
                  <c:v>4292</c:v>
                </c:pt>
                <c:pt idx="69">
                  <c:v>4355</c:v>
                </c:pt>
                <c:pt idx="70">
                  <c:v>4362</c:v>
                </c:pt>
                <c:pt idx="71">
                  <c:v>4348</c:v>
                </c:pt>
                <c:pt idx="72">
                  <c:v>4280</c:v>
                </c:pt>
                <c:pt idx="73">
                  <c:v>4344</c:v>
                </c:pt>
                <c:pt idx="74">
                  <c:v>4348</c:v>
                </c:pt>
                <c:pt idx="75">
                  <c:v>4484</c:v>
                </c:pt>
                <c:pt idx="76">
                  <c:v>4556</c:v>
                </c:pt>
                <c:pt idx="77">
                  <c:v>4531</c:v>
                </c:pt>
                <c:pt idx="78">
                  <c:v>4388</c:v>
                </c:pt>
                <c:pt idx="79">
                  <c:v>4262</c:v>
                </c:pt>
                <c:pt idx="80">
                  <c:v>4063</c:v>
                </c:pt>
                <c:pt idx="81">
                  <c:v>3880</c:v>
                </c:pt>
                <c:pt idx="82">
                  <c:v>3921</c:v>
                </c:pt>
                <c:pt idx="83">
                  <c:v>3717</c:v>
                </c:pt>
                <c:pt idx="84">
                  <c:v>3490</c:v>
                </c:pt>
                <c:pt idx="85">
                  <c:v>3388</c:v>
                </c:pt>
                <c:pt idx="86">
                  <c:v>3323</c:v>
                </c:pt>
                <c:pt idx="87">
                  <c:v>3268</c:v>
                </c:pt>
                <c:pt idx="88">
                  <c:v>3511</c:v>
                </c:pt>
                <c:pt idx="89">
                  <c:v>3532</c:v>
                </c:pt>
                <c:pt idx="90">
                  <c:v>3470</c:v>
                </c:pt>
                <c:pt idx="91">
                  <c:v>3376</c:v>
                </c:pt>
                <c:pt idx="92">
                  <c:v>3314</c:v>
                </c:pt>
                <c:pt idx="93">
                  <c:v>3284</c:v>
                </c:pt>
                <c:pt idx="94">
                  <c:v>3213</c:v>
                </c:pt>
                <c:pt idx="95">
                  <c:v>3207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Sheet2!$CN$3:$CN$4</c:f>
              <c:strCache>
                <c:ptCount val="1"/>
                <c:pt idx="0">
                  <c:v>Sum of 21-Feb</c:v>
                </c:pt>
              </c:strCache>
            </c:strRef>
          </c:tx>
          <c:cat>
            <c:strRef>
              <c:f>Sheet2!$CJ$5:$CJ$100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Sheet2!$CN$5:$CN$100</c:f>
              <c:numCache>
                <c:formatCode>General</c:formatCode>
                <c:ptCount val="96"/>
                <c:pt idx="0">
                  <c:v>2854</c:v>
                </c:pt>
                <c:pt idx="1">
                  <c:v>2866</c:v>
                </c:pt>
                <c:pt idx="2">
                  <c:v>2858</c:v>
                </c:pt>
                <c:pt idx="3">
                  <c:v>2907</c:v>
                </c:pt>
                <c:pt idx="4">
                  <c:v>2886</c:v>
                </c:pt>
                <c:pt idx="5">
                  <c:v>2881</c:v>
                </c:pt>
                <c:pt idx="6">
                  <c:v>2908</c:v>
                </c:pt>
                <c:pt idx="7">
                  <c:v>2907</c:v>
                </c:pt>
                <c:pt idx="8">
                  <c:v>2925</c:v>
                </c:pt>
                <c:pt idx="9">
                  <c:v>2908</c:v>
                </c:pt>
                <c:pt idx="10">
                  <c:v>2950</c:v>
                </c:pt>
                <c:pt idx="11">
                  <c:v>2924</c:v>
                </c:pt>
                <c:pt idx="12">
                  <c:v>2927</c:v>
                </c:pt>
                <c:pt idx="13">
                  <c:v>2941</c:v>
                </c:pt>
                <c:pt idx="14">
                  <c:v>2943</c:v>
                </c:pt>
                <c:pt idx="15">
                  <c:v>2918</c:v>
                </c:pt>
                <c:pt idx="16">
                  <c:v>2915</c:v>
                </c:pt>
                <c:pt idx="17">
                  <c:v>2981</c:v>
                </c:pt>
                <c:pt idx="18">
                  <c:v>3035</c:v>
                </c:pt>
                <c:pt idx="19">
                  <c:v>3119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Sheet2!$CO$3:$CO$4</c:f>
              <c:strCache>
                <c:ptCount val="1"/>
                <c:pt idx="0">
                  <c:v>Sum of "Combination"</c:v>
                </c:pt>
              </c:strCache>
            </c:strRef>
          </c:tx>
          <c:cat>
            <c:strRef>
              <c:f>Sheet2!$CJ$5:$CJ$100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Sheet2!$CO$5:$CO$100</c:f>
              <c:numCache>
                <c:formatCode>General</c:formatCode>
                <c:ptCount val="96"/>
                <c:pt idx="0">
                  <c:v>3129.31846603141</c:v>
                </c:pt>
                <c:pt idx="1">
                  <c:v>3122.6867521124</c:v>
                </c:pt>
                <c:pt idx="2">
                  <c:v>3122.3724962621</c:v>
                </c:pt>
                <c:pt idx="3">
                  <c:v>3079.57339887947</c:v>
                </c:pt>
                <c:pt idx="4">
                  <c:v>3112.2968282986999</c:v>
                </c:pt>
                <c:pt idx="5">
                  <c:v>3168.5196187123502</c:v>
                </c:pt>
                <c:pt idx="6">
                  <c:v>3176.7662894991199</c:v>
                </c:pt>
                <c:pt idx="7">
                  <c:v>3121.7257227514701</c:v>
                </c:pt>
                <c:pt idx="8">
                  <c:v>3095.3977155933399</c:v>
                </c:pt>
                <c:pt idx="9">
                  <c:v>3080.2126072361898</c:v>
                </c:pt>
                <c:pt idx="10">
                  <c:v>3079.0757523757502</c:v>
                </c:pt>
                <c:pt idx="11">
                  <c:v>3096.3924077627798</c:v>
                </c:pt>
                <c:pt idx="12">
                  <c:v>3054.5010822682202</c:v>
                </c:pt>
                <c:pt idx="13">
                  <c:v>3046.82784066461</c:v>
                </c:pt>
                <c:pt idx="14">
                  <c:v>3058.9300287958099</c:v>
                </c:pt>
                <c:pt idx="15">
                  <c:v>3060.6487971094002</c:v>
                </c:pt>
                <c:pt idx="16">
                  <c:v>3041.5073064795502</c:v>
                </c:pt>
                <c:pt idx="17">
                  <c:v>2997.26928890403</c:v>
                </c:pt>
                <c:pt idx="18">
                  <c:v>3052.3302575919001</c:v>
                </c:pt>
                <c:pt idx="19">
                  <c:v>3086.95685667831</c:v>
                </c:pt>
                <c:pt idx="20">
                  <c:v>3119.2720917960901</c:v>
                </c:pt>
                <c:pt idx="21">
                  <c:v>3198.8269158251101</c:v>
                </c:pt>
                <c:pt idx="22">
                  <c:v>3239.9477516545799</c:v>
                </c:pt>
                <c:pt idx="23">
                  <c:v>3372.4787026901399</c:v>
                </c:pt>
                <c:pt idx="24">
                  <c:v>3566.64754933225</c:v>
                </c:pt>
                <c:pt idx="25">
                  <c:v>3746.6690197457001</c:v>
                </c:pt>
                <c:pt idx="26">
                  <c:v>3801.1155754476599</c:v>
                </c:pt>
                <c:pt idx="27">
                  <c:v>3855.1535247093402</c:v>
                </c:pt>
                <c:pt idx="28">
                  <c:v>3947.7700981322</c:v>
                </c:pt>
                <c:pt idx="29">
                  <c:v>4000.23309794735</c:v>
                </c:pt>
                <c:pt idx="30">
                  <c:v>4013.9765918708599</c:v>
                </c:pt>
                <c:pt idx="31">
                  <c:v>3998.87678065305</c:v>
                </c:pt>
                <c:pt idx="32">
                  <c:v>4014.8343284860598</c:v>
                </c:pt>
                <c:pt idx="33">
                  <c:v>4015.2638486722299</c:v>
                </c:pt>
                <c:pt idx="34">
                  <c:v>3998.3191287965301</c:v>
                </c:pt>
                <c:pt idx="35">
                  <c:v>3990.0250655249902</c:v>
                </c:pt>
                <c:pt idx="36">
                  <c:v>4055.3272045039298</c:v>
                </c:pt>
                <c:pt idx="37">
                  <c:v>4042.82272704365</c:v>
                </c:pt>
                <c:pt idx="38">
                  <c:v>4034.3940437746401</c:v>
                </c:pt>
                <c:pt idx="39">
                  <c:v>4043.45057296812</c:v>
                </c:pt>
                <c:pt idx="40">
                  <c:v>3981.9472900641999</c:v>
                </c:pt>
                <c:pt idx="41">
                  <c:v>4016.1706023412398</c:v>
                </c:pt>
                <c:pt idx="42">
                  <c:v>4019.0193213430698</c:v>
                </c:pt>
                <c:pt idx="43">
                  <c:v>4027.0705752879499</c:v>
                </c:pt>
                <c:pt idx="44">
                  <c:v>4059.5396980492901</c:v>
                </c:pt>
                <c:pt idx="45">
                  <c:v>4019.2035020348198</c:v>
                </c:pt>
                <c:pt idx="46">
                  <c:v>4010.5189608676801</c:v>
                </c:pt>
                <c:pt idx="47">
                  <c:v>4011.1994055505502</c:v>
                </c:pt>
                <c:pt idx="48">
                  <c:v>4027.5236246569898</c:v>
                </c:pt>
                <c:pt idx="49">
                  <c:v>4026.6096837528999</c:v>
                </c:pt>
                <c:pt idx="50">
                  <c:v>4014.6940162703299</c:v>
                </c:pt>
                <c:pt idx="51">
                  <c:v>4030.6950908754802</c:v>
                </c:pt>
                <c:pt idx="52">
                  <c:v>4126.6997690037897</c:v>
                </c:pt>
                <c:pt idx="53">
                  <c:v>4116.8277319817198</c:v>
                </c:pt>
                <c:pt idx="54">
                  <c:v>4134.32832500731</c:v>
                </c:pt>
                <c:pt idx="55">
                  <c:v>4139.5885000374301</c:v>
                </c:pt>
                <c:pt idx="56">
                  <c:v>4103.0087893883601</c:v>
                </c:pt>
                <c:pt idx="57">
                  <c:v>4146.6480231591404</c:v>
                </c:pt>
                <c:pt idx="58">
                  <c:v>4145.9766917789502</c:v>
                </c:pt>
                <c:pt idx="59">
                  <c:v>4153.3367698018501</c:v>
                </c:pt>
                <c:pt idx="60">
                  <c:v>4178.6657572181002</c:v>
                </c:pt>
                <c:pt idx="61">
                  <c:v>4190.1786766823498</c:v>
                </c:pt>
                <c:pt idx="62">
                  <c:v>4167.6512599435</c:v>
                </c:pt>
                <c:pt idx="63">
                  <c:v>4159.4899911474304</c:v>
                </c:pt>
                <c:pt idx="64">
                  <c:v>4223.2059024257196</c:v>
                </c:pt>
                <c:pt idx="65">
                  <c:v>4175.2223226603901</c:v>
                </c:pt>
                <c:pt idx="66">
                  <c:v>4176.93717867958</c:v>
                </c:pt>
                <c:pt idx="67">
                  <c:v>4166.2564101652497</c:v>
                </c:pt>
                <c:pt idx="68">
                  <c:v>4059.0692947426201</c:v>
                </c:pt>
                <c:pt idx="69">
                  <c:v>4075.93672417978</c:v>
                </c:pt>
                <c:pt idx="70">
                  <c:v>4055.6532460207</c:v>
                </c:pt>
                <c:pt idx="71">
                  <c:v>4058.1456430354401</c:v>
                </c:pt>
                <c:pt idx="72">
                  <c:v>4007.55264323864</c:v>
                </c:pt>
                <c:pt idx="73">
                  <c:v>4071.6187235615998</c:v>
                </c:pt>
                <c:pt idx="74">
                  <c:v>4097.9964754051398</c:v>
                </c:pt>
                <c:pt idx="75">
                  <c:v>4040.9600403115801</c:v>
                </c:pt>
                <c:pt idx="76">
                  <c:v>4047.3559320070199</c:v>
                </c:pt>
                <c:pt idx="77">
                  <c:v>4079.46251869752</c:v>
                </c:pt>
                <c:pt idx="78">
                  <c:v>4035.4275440051701</c:v>
                </c:pt>
                <c:pt idx="79">
                  <c:v>3956.3424658403501</c:v>
                </c:pt>
                <c:pt idx="80">
                  <c:v>3845.84638197511</c:v>
                </c:pt>
                <c:pt idx="81">
                  <c:v>3802.0713374872898</c:v>
                </c:pt>
                <c:pt idx="82">
                  <c:v>3740.6412311189902</c:v>
                </c:pt>
                <c:pt idx="83">
                  <c:v>3674.6074029198298</c:v>
                </c:pt>
                <c:pt idx="84">
                  <c:v>3473.4275727889399</c:v>
                </c:pt>
                <c:pt idx="85">
                  <c:v>3451.1730291839699</c:v>
                </c:pt>
                <c:pt idx="86">
                  <c:v>3384.8871148975099</c:v>
                </c:pt>
                <c:pt idx="87">
                  <c:v>3364.6782489914599</c:v>
                </c:pt>
                <c:pt idx="88">
                  <c:v>3340.6995812002801</c:v>
                </c:pt>
                <c:pt idx="89">
                  <c:v>3457.0231967261202</c:v>
                </c:pt>
                <c:pt idx="90">
                  <c:v>3411.7517602470198</c:v>
                </c:pt>
                <c:pt idx="91">
                  <c:v>3364.5758072508502</c:v>
                </c:pt>
                <c:pt idx="92">
                  <c:v>3382.7325918546298</c:v>
                </c:pt>
                <c:pt idx="93">
                  <c:v>3302.5945287108302</c:v>
                </c:pt>
                <c:pt idx="94">
                  <c:v>3291.5257038985501</c:v>
                </c:pt>
                <c:pt idx="95">
                  <c:v>3262.8800446827499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Sheet2!$CP$3:$CP$4</c:f>
              <c:strCache>
                <c:ptCount val="1"/>
                <c:pt idx="0">
                  <c:v>Sum of 19-Feb</c:v>
                </c:pt>
              </c:strCache>
            </c:strRef>
          </c:tx>
          <c:cat>
            <c:strRef>
              <c:f>Sheet2!$CJ$5:$CJ$100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Sheet2!$CP$5:$CP$100</c:f>
              <c:numCache>
                <c:formatCode>General</c:formatCode>
                <c:ptCount val="96"/>
                <c:pt idx="0">
                  <c:v>3007</c:v>
                </c:pt>
                <c:pt idx="1">
                  <c:v>3040</c:v>
                </c:pt>
                <c:pt idx="2">
                  <c:v>3082</c:v>
                </c:pt>
                <c:pt idx="3">
                  <c:v>3094</c:v>
                </c:pt>
                <c:pt idx="4">
                  <c:v>2986</c:v>
                </c:pt>
                <c:pt idx="5">
                  <c:v>2984</c:v>
                </c:pt>
                <c:pt idx="6">
                  <c:v>3028</c:v>
                </c:pt>
                <c:pt idx="7">
                  <c:v>3034</c:v>
                </c:pt>
                <c:pt idx="8">
                  <c:v>3033</c:v>
                </c:pt>
                <c:pt idx="9">
                  <c:v>3005</c:v>
                </c:pt>
                <c:pt idx="10">
                  <c:v>2998</c:v>
                </c:pt>
                <c:pt idx="11">
                  <c:v>3018</c:v>
                </c:pt>
                <c:pt idx="12">
                  <c:v>2992</c:v>
                </c:pt>
                <c:pt idx="13">
                  <c:v>3006</c:v>
                </c:pt>
                <c:pt idx="14">
                  <c:v>3024</c:v>
                </c:pt>
                <c:pt idx="15">
                  <c:v>3057</c:v>
                </c:pt>
                <c:pt idx="16">
                  <c:v>3040</c:v>
                </c:pt>
                <c:pt idx="17">
                  <c:v>3123</c:v>
                </c:pt>
                <c:pt idx="18">
                  <c:v>3123</c:v>
                </c:pt>
                <c:pt idx="19">
                  <c:v>3175</c:v>
                </c:pt>
                <c:pt idx="20">
                  <c:v>3406</c:v>
                </c:pt>
                <c:pt idx="21">
                  <c:v>3522</c:v>
                </c:pt>
                <c:pt idx="22">
                  <c:v>3614</c:v>
                </c:pt>
                <c:pt idx="23">
                  <c:v>3627</c:v>
                </c:pt>
                <c:pt idx="24">
                  <c:v>3870</c:v>
                </c:pt>
                <c:pt idx="25">
                  <c:v>4025</c:v>
                </c:pt>
                <c:pt idx="26">
                  <c:v>4136</c:v>
                </c:pt>
                <c:pt idx="27">
                  <c:v>4266</c:v>
                </c:pt>
                <c:pt idx="28">
                  <c:v>4478</c:v>
                </c:pt>
                <c:pt idx="29">
                  <c:v>4567</c:v>
                </c:pt>
                <c:pt idx="30">
                  <c:v>4602</c:v>
                </c:pt>
                <c:pt idx="31">
                  <c:v>4569</c:v>
                </c:pt>
                <c:pt idx="32">
                  <c:v>4675</c:v>
                </c:pt>
                <c:pt idx="33">
                  <c:v>4602</c:v>
                </c:pt>
                <c:pt idx="34">
                  <c:v>4604</c:v>
                </c:pt>
                <c:pt idx="35">
                  <c:v>4563</c:v>
                </c:pt>
                <c:pt idx="36">
                  <c:v>4635</c:v>
                </c:pt>
                <c:pt idx="37">
                  <c:v>4597</c:v>
                </c:pt>
                <c:pt idx="38">
                  <c:v>4576</c:v>
                </c:pt>
                <c:pt idx="39">
                  <c:v>4600</c:v>
                </c:pt>
                <c:pt idx="40">
                  <c:v>4328</c:v>
                </c:pt>
                <c:pt idx="41">
                  <c:v>4453</c:v>
                </c:pt>
                <c:pt idx="42">
                  <c:v>4543</c:v>
                </c:pt>
                <c:pt idx="43">
                  <c:v>4597</c:v>
                </c:pt>
                <c:pt idx="44">
                  <c:v>4961</c:v>
                </c:pt>
                <c:pt idx="45">
                  <c:v>4823</c:v>
                </c:pt>
                <c:pt idx="46">
                  <c:v>4625</c:v>
                </c:pt>
                <c:pt idx="47">
                  <c:v>4676</c:v>
                </c:pt>
                <c:pt idx="48">
                  <c:v>4465</c:v>
                </c:pt>
                <c:pt idx="49">
                  <c:v>4506</c:v>
                </c:pt>
                <c:pt idx="50">
                  <c:v>4529</c:v>
                </c:pt>
                <c:pt idx="51">
                  <c:v>4602</c:v>
                </c:pt>
                <c:pt idx="52">
                  <c:v>4551</c:v>
                </c:pt>
                <c:pt idx="53">
                  <c:v>4569</c:v>
                </c:pt>
                <c:pt idx="54">
                  <c:v>4620</c:v>
                </c:pt>
                <c:pt idx="55">
                  <c:v>4641</c:v>
                </c:pt>
                <c:pt idx="56">
                  <c:v>4749</c:v>
                </c:pt>
                <c:pt idx="57">
                  <c:v>4807</c:v>
                </c:pt>
                <c:pt idx="58">
                  <c:v>4812</c:v>
                </c:pt>
                <c:pt idx="59">
                  <c:v>4769</c:v>
                </c:pt>
                <c:pt idx="60">
                  <c:v>4922</c:v>
                </c:pt>
                <c:pt idx="61">
                  <c:v>5001</c:v>
                </c:pt>
                <c:pt idx="62">
                  <c:v>4963</c:v>
                </c:pt>
                <c:pt idx="63">
                  <c:v>4929</c:v>
                </c:pt>
                <c:pt idx="64">
                  <c:v>4629</c:v>
                </c:pt>
                <c:pt idx="65">
                  <c:v>4533</c:v>
                </c:pt>
                <c:pt idx="66">
                  <c:v>4591</c:v>
                </c:pt>
                <c:pt idx="67">
                  <c:v>4696</c:v>
                </c:pt>
                <c:pt idx="68">
                  <c:v>4601</c:v>
                </c:pt>
                <c:pt idx="69">
                  <c:v>4710</c:v>
                </c:pt>
                <c:pt idx="70">
                  <c:v>4673</c:v>
                </c:pt>
                <c:pt idx="71">
                  <c:v>4614</c:v>
                </c:pt>
                <c:pt idx="72">
                  <c:v>4387</c:v>
                </c:pt>
                <c:pt idx="73">
                  <c:v>4539</c:v>
                </c:pt>
                <c:pt idx="74">
                  <c:v>4612</c:v>
                </c:pt>
                <c:pt idx="75">
                  <c:v>4593</c:v>
                </c:pt>
                <c:pt idx="76">
                  <c:v>4632</c:v>
                </c:pt>
                <c:pt idx="77">
                  <c:v>4632</c:v>
                </c:pt>
                <c:pt idx="78">
                  <c:v>4632</c:v>
                </c:pt>
                <c:pt idx="79">
                  <c:v>4632</c:v>
                </c:pt>
                <c:pt idx="80">
                  <c:v>4613</c:v>
                </c:pt>
                <c:pt idx="81">
                  <c:v>4613</c:v>
                </c:pt>
                <c:pt idx="82">
                  <c:v>4613</c:v>
                </c:pt>
                <c:pt idx="83">
                  <c:v>3895</c:v>
                </c:pt>
                <c:pt idx="84">
                  <c:v>3364</c:v>
                </c:pt>
                <c:pt idx="85">
                  <c:v>3192</c:v>
                </c:pt>
                <c:pt idx="86">
                  <c:v>3085</c:v>
                </c:pt>
                <c:pt idx="87">
                  <c:v>3072</c:v>
                </c:pt>
                <c:pt idx="88">
                  <c:v>3196</c:v>
                </c:pt>
                <c:pt idx="89">
                  <c:v>3293</c:v>
                </c:pt>
                <c:pt idx="90">
                  <c:v>3251</c:v>
                </c:pt>
                <c:pt idx="91">
                  <c:v>3236</c:v>
                </c:pt>
                <c:pt idx="92">
                  <c:v>3246</c:v>
                </c:pt>
                <c:pt idx="93">
                  <c:v>3187</c:v>
                </c:pt>
                <c:pt idx="94">
                  <c:v>3125</c:v>
                </c:pt>
                <c:pt idx="95">
                  <c:v>3087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165000"/>
        <c:axId val="235232736"/>
      </c:lineChart>
      <c:catAx>
        <c:axId val="2351650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235232736"/>
        <c:crosses val="autoZero"/>
        <c:auto val="1"/>
        <c:lblAlgn val="ctr"/>
        <c:lblOffset val="100"/>
        <c:noMultiLvlLbl val="0"/>
      </c:catAx>
      <c:valAx>
        <c:axId val="235232736"/>
        <c:scaling>
          <c:orientation val="minMax"/>
          <c:min val="25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351650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1594772118561852"/>
          <c:y val="0.84375583260429743"/>
          <c:w val="0.88405228502764699"/>
          <c:h val="4.9975511434276455E-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[macrofile.xlsm]Sheet3!PivotTable7</c:name>
    <c:fmtId val="1"/>
  </c:pivotSource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WU Summary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#,##0.00" sourceLinked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0"/>
              <c:y val="1.8518518518518583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Sheet3!$M$4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numFmt formatCode="#,##0.00" sourceLinked="0"/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Sheet3!$L$5:$L$19</c:f>
              <c:multiLvlStrCache>
                <c:ptCount val="12"/>
                <c:lvl>
                  <c:pt idx="0">
                    <c:v>2/19/2015</c:v>
                  </c:pt>
                  <c:pt idx="1">
                    <c:v>2/20/2015</c:v>
                  </c:pt>
                  <c:pt idx="2">
                    <c:v>2/21/2015</c:v>
                  </c:pt>
                  <c:pt idx="3">
                    <c:v>2/22/2015</c:v>
                  </c:pt>
                  <c:pt idx="4">
                    <c:v>2/19/2015</c:v>
                  </c:pt>
                  <c:pt idx="5">
                    <c:v>2/20/2015</c:v>
                  </c:pt>
                  <c:pt idx="6">
                    <c:v>2/21/2015</c:v>
                  </c:pt>
                  <c:pt idx="7">
                    <c:v>2/22/2015</c:v>
                  </c:pt>
                  <c:pt idx="8">
                    <c:v>2/19/2015</c:v>
                  </c:pt>
                  <c:pt idx="9">
                    <c:v>2/20/2015</c:v>
                  </c:pt>
                  <c:pt idx="10">
                    <c:v>2/21/2015</c:v>
                  </c:pt>
                  <c:pt idx="11">
                    <c:v>2/22/2015</c:v>
                  </c:pt>
                </c:lvl>
                <c:lvl>
                  <c:pt idx="0">
                    <c:v>Average of Temperature</c:v>
                  </c:pt>
                  <c:pt idx="4">
                    <c:v>Average of Humidity</c:v>
                  </c:pt>
                  <c:pt idx="8">
                    <c:v>Average of CC</c:v>
                  </c:pt>
                </c:lvl>
              </c:multiLvlStrCache>
            </c:multiLvlStrRef>
          </c:cat>
          <c:val>
            <c:numRef>
              <c:f>Sheet3!$M$5:$M$19</c:f>
              <c:numCache>
                <c:formatCode>General</c:formatCode>
                <c:ptCount val="12"/>
                <c:pt idx="0">
                  <c:v>14.121015467500001</c:v>
                </c:pt>
                <c:pt idx="1">
                  <c:v>15.187347227</c:v>
                </c:pt>
                <c:pt idx="2">
                  <c:v>12.744853708000001</c:v>
                </c:pt>
                <c:pt idx="3">
                  <c:v>13.815111541499999</c:v>
                </c:pt>
                <c:pt idx="4">
                  <c:v>0.86466495427000001</c:v>
                </c:pt>
                <c:pt idx="5">
                  <c:v>0.86519676239499987</c:v>
                </c:pt>
                <c:pt idx="6">
                  <c:v>0.81767780971999982</c:v>
                </c:pt>
                <c:pt idx="7">
                  <c:v>0.93093059613999996</c:v>
                </c:pt>
                <c:pt idx="8">
                  <c:v>0.529575511025</c:v>
                </c:pt>
                <c:pt idx="9">
                  <c:v>0.83705505513999989</c:v>
                </c:pt>
                <c:pt idx="10">
                  <c:v>0.33249544790999996</c:v>
                </c:pt>
                <c:pt idx="11">
                  <c:v>7.8147298185000005E-2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233912"/>
        <c:axId val="235234304"/>
      </c:barChart>
      <c:catAx>
        <c:axId val="235233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5234304"/>
        <c:crosses val="autoZero"/>
        <c:auto val="1"/>
        <c:lblAlgn val="ctr"/>
        <c:lblOffset val="100"/>
        <c:noMultiLvlLbl val="0"/>
      </c:catAx>
      <c:valAx>
        <c:axId val="235234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5233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[macrofile.xlsm]Sheet3!PivotTable1</c:name>
    <c:fmtId val="0"/>
  </c:pivotSource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AW Summary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#,##0.00" sourceLinked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Sheet3!$M$24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numFmt formatCode="#,##0.00" sourceLinked="0"/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Sheet3!$L$25:$L$39</c:f>
              <c:multiLvlStrCache>
                <c:ptCount val="12"/>
                <c:lvl>
                  <c:pt idx="0">
                    <c:v>2/17/2015</c:v>
                  </c:pt>
                  <c:pt idx="1">
                    <c:v>2/18/2015</c:v>
                  </c:pt>
                  <c:pt idx="2">
                    <c:v>2/19/2015</c:v>
                  </c:pt>
                  <c:pt idx="3">
                    <c:v>2/20/2015</c:v>
                  </c:pt>
                  <c:pt idx="4">
                    <c:v>2/17/2015</c:v>
                  </c:pt>
                  <c:pt idx="5">
                    <c:v>2/18/2015</c:v>
                  </c:pt>
                  <c:pt idx="6">
                    <c:v>2/19/2015</c:v>
                  </c:pt>
                  <c:pt idx="7">
                    <c:v>2/20/2015</c:v>
                  </c:pt>
                  <c:pt idx="8">
                    <c:v>2/17/2015</c:v>
                  </c:pt>
                  <c:pt idx="9">
                    <c:v>2/18/2015</c:v>
                  </c:pt>
                  <c:pt idx="10">
                    <c:v>2/19/2015</c:v>
                  </c:pt>
                  <c:pt idx="11">
                    <c:v>2/20/2015</c:v>
                  </c:pt>
                </c:lvl>
                <c:lvl>
                  <c:pt idx="0">
                    <c:v>Average of Temperature</c:v>
                  </c:pt>
                  <c:pt idx="4">
                    <c:v>Average of Humidity</c:v>
                  </c:pt>
                  <c:pt idx="8">
                    <c:v>Average of CC</c:v>
                  </c:pt>
                </c:lvl>
              </c:multiLvlStrCache>
            </c:multiLvlStrRef>
          </c:cat>
          <c:val>
            <c:numRef>
              <c:f>Sheet3!$M$25:$M$39</c:f>
              <c:numCache>
                <c:formatCode>General</c:formatCode>
                <c:ptCount val="12"/>
                <c:pt idx="0">
                  <c:v>20.647079907999995</c:v>
                </c:pt>
                <c:pt idx="1">
                  <c:v>19.519686449499996</c:v>
                </c:pt>
                <c:pt idx="2">
                  <c:v>19.615211380166667</c:v>
                </c:pt>
                <c:pt idx="3">
                  <c:v>19.187254750666668</c:v>
                </c:pt>
                <c:pt idx="4">
                  <c:v>0.6728282131533333</c:v>
                </c:pt>
                <c:pt idx="5">
                  <c:v>0.74359413715666645</c:v>
                </c:pt>
                <c:pt idx="6">
                  <c:v>0.64177093528500007</c:v>
                </c:pt>
                <c:pt idx="7">
                  <c:v>0.66313056614999988</c:v>
                </c:pt>
                <c:pt idx="8">
                  <c:v>0.27141003374</c:v>
                </c:pt>
                <c:pt idx="9">
                  <c:v>0.53305897477833342</c:v>
                </c:pt>
                <c:pt idx="10">
                  <c:v>0.95951589722833341</c:v>
                </c:pt>
                <c:pt idx="11">
                  <c:v>0.45145634737833329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235088"/>
        <c:axId val="235235480"/>
      </c:barChart>
      <c:catAx>
        <c:axId val="2352350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5235480"/>
        <c:crosses val="autoZero"/>
        <c:auto val="1"/>
        <c:lblAlgn val="ctr"/>
        <c:lblOffset val="100"/>
        <c:noMultiLvlLbl val="0"/>
      </c:catAx>
      <c:valAx>
        <c:axId val="235235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5235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[macrofile.xlsm]Multi_Period!PivotTable1</c:name>
    <c:fmtId val="2"/>
  </c:pivotSource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Forecasts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793285214348221"/>
          <c:y val="0.13924795858850991"/>
          <c:w val="0.8415115923009624"/>
          <c:h val="0.56488553514144069"/>
        </c:manualLayout>
      </c:layout>
      <c:lineChart>
        <c:grouping val="standard"/>
        <c:varyColors val="0"/>
        <c:ser>
          <c:idx val="0"/>
          <c:order val="0"/>
          <c:tx>
            <c:strRef>
              <c:f>Multi_Period!$P$3:$P$4</c:f>
              <c:strCache>
                <c:ptCount val="1"/>
                <c:pt idx="0">
                  <c:v>Sum of Actual.Last.Day</c:v>
                </c:pt>
              </c:strCache>
            </c:strRef>
          </c:tx>
          <c:marker>
            <c:symbol val="none"/>
          </c:marker>
          <c:cat>
            <c:strRef>
              <c:f>Multi_Period!$O$5:$O$100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Multi_Period!$P$5:$P$100</c:f>
              <c:numCache>
                <c:formatCode>General</c:formatCode>
                <c:ptCount val="96"/>
                <c:pt idx="0">
                  <c:v>2816</c:v>
                </c:pt>
                <c:pt idx="1">
                  <c:v>2824</c:v>
                </c:pt>
                <c:pt idx="2">
                  <c:v>2821</c:v>
                </c:pt>
                <c:pt idx="3">
                  <c:v>2822</c:v>
                </c:pt>
                <c:pt idx="4">
                  <c:v>2813</c:v>
                </c:pt>
                <c:pt idx="5">
                  <c:v>2807</c:v>
                </c:pt>
                <c:pt idx="6">
                  <c:v>2862</c:v>
                </c:pt>
                <c:pt idx="7">
                  <c:v>2864</c:v>
                </c:pt>
                <c:pt idx="8">
                  <c:v>2846</c:v>
                </c:pt>
                <c:pt idx="9">
                  <c:v>2828</c:v>
                </c:pt>
                <c:pt idx="10">
                  <c:v>2810</c:v>
                </c:pt>
                <c:pt idx="11">
                  <c:v>2803.6666666666665</c:v>
                </c:pt>
                <c:pt idx="12">
                  <c:v>2764.0589502361704</c:v>
                </c:pt>
                <c:pt idx="13">
                  <c:v>2791</c:v>
                </c:pt>
                <c:pt idx="14">
                  <c:v>2855</c:v>
                </c:pt>
                <c:pt idx="15">
                  <c:v>2868</c:v>
                </c:pt>
                <c:pt idx="16">
                  <c:v>2887</c:v>
                </c:pt>
                <c:pt idx="17">
                  <c:v>2943</c:v>
                </c:pt>
                <c:pt idx="18">
                  <c:v>3010</c:v>
                </c:pt>
                <c:pt idx="19">
                  <c:v>3041</c:v>
                </c:pt>
                <c:pt idx="20">
                  <c:v>3166</c:v>
                </c:pt>
                <c:pt idx="21">
                  <c:v>3290</c:v>
                </c:pt>
                <c:pt idx="22">
                  <c:v>3415</c:v>
                </c:pt>
                <c:pt idx="23">
                  <c:v>3532</c:v>
                </c:pt>
                <c:pt idx="24">
                  <c:v>4054</c:v>
                </c:pt>
                <c:pt idx="25">
                  <c:v>4179</c:v>
                </c:pt>
                <c:pt idx="26">
                  <c:v>4181</c:v>
                </c:pt>
                <c:pt idx="27">
                  <c:v>4156</c:v>
                </c:pt>
                <c:pt idx="28">
                  <c:v>4128</c:v>
                </c:pt>
                <c:pt idx="29">
                  <c:v>4224</c:v>
                </c:pt>
                <c:pt idx="30">
                  <c:v>4234</c:v>
                </c:pt>
                <c:pt idx="31">
                  <c:v>4254</c:v>
                </c:pt>
                <c:pt idx="32">
                  <c:v>4097</c:v>
                </c:pt>
                <c:pt idx="33">
                  <c:v>4205</c:v>
                </c:pt>
                <c:pt idx="34">
                  <c:v>4233</c:v>
                </c:pt>
                <c:pt idx="35">
                  <c:v>4239</c:v>
                </c:pt>
                <c:pt idx="36">
                  <c:v>4379</c:v>
                </c:pt>
                <c:pt idx="37">
                  <c:v>4370</c:v>
                </c:pt>
                <c:pt idx="38">
                  <c:v>4224</c:v>
                </c:pt>
                <c:pt idx="39">
                  <c:v>4147</c:v>
                </c:pt>
                <c:pt idx="40">
                  <c:v>3951</c:v>
                </c:pt>
                <c:pt idx="41">
                  <c:v>3911</c:v>
                </c:pt>
                <c:pt idx="42">
                  <c:v>3882</c:v>
                </c:pt>
                <c:pt idx="43">
                  <c:v>3953</c:v>
                </c:pt>
                <c:pt idx="44">
                  <c:v>4066</c:v>
                </c:pt>
                <c:pt idx="45">
                  <c:v>4011</c:v>
                </c:pt>
                <c:pt idx="46">
                  <c:v>3939</c:v>
                </c:pt>
                <c:pt idx="47">
                  <c:v>3884</c:v>
                </c:pt>
                <c:pt idx="48">
                  <c:v>3637</c:v>
                </c:pt>
                <c:pt idx="49">
                  <c:v>3626</c:v>
                </c:pt>
                <c:pt idx="50">
                  <c:v>3670</c:v>
                </c:pt>
                <c:pt idx="51">
                  <c:v>3752</c:v>
                </c:pt>
                <c:pt idx="52">
                  <c:v>3838</c:v>
                </c:pt>
                <c:pt idx="53">
                  <c:v>3888</c:v>
                </c:pt>
                <c:pt idx="54">
                  <c:v>3869</c:v>
                </c:pt>
                <c:pt idx="55">
                  <c:v>3853</c:v>
                </c:pt>
                <c:pt idx="56">
                  <c:v>3771</c:v>
                </c:pt>
                <c:pt idx="57">
                  <c:v>3725</c:v>
                </c:pt>
                <c:pt idx="58">
                  <c:v>3718</c:v>
                </c:pt>
                <c:pt idx="59">
                  <c:v>3743</c:v>
                </c:pt>
                <c:pt idx="60">
                  <c:v>3799</c:v>
                </c:pt>
                <c:pt idx="61">
                  <c:v>3804</c:v>
                </c:pt>
                <c:pt idx="62">
                  <c:v>3801</c:v>
                </c:pt>
                <c:pt idx="63">
                  <c:v>3765</c:v>
                </c:pt>
                <c:pt idx="64">
                  <c:v>3872</c:v>
                </c:pt>
                <c:pt idx="65">
                  <c:v>3868</c:v>
                </c:pt>
                <c:pt idx="66">
                  <c:v>3902</c:v>
                </c:pt>
                <c:pt idx="67">
                  <c:v>3869</c:v>
                </c:pt>
                <c:pt idx="68">
                  <c:v>3859</c:v>
                </c:pt>
                <c:pt idx="69">
                  <c:v>3920</c:v>
                </c:pt>
                <c:pt idx="70">
                  <c:v>3922</c:v>
                </c:pt>
                <c:pt idx="71">
                  <c:v>3844</c:v>
                </c:pt>
                <c:pt idx="72">
                  <c:v>3808</c:v>
                </c:pt>
                <c:pt idx="73">
                  <c:v>3981</c:v>
                </c:pt>
                <c:pt idx="74">
                  <c:v>4137</c:v>
                </c:pt>
                <c:pt idx="75">
                  <c:v>4225</c:v>
                </c:pt>
                <c:pt idx="76">
                  <c:v>4059</c:v>
                </c:pt>
                <c:pt idx="77">
                  <c:v>4039</c:v>
                </c:pt>
                <c:pt idx="78">
                  <c:v>3997</c:v>
                </c:pt>
                <c:pt idx="79">
                  <c:v>3908</c:v>
                </c:pt>
                <c:pt idx="80">
                  <c:v>3699</c:v>
                </c:pt>
                <c:pt idx="81">
                  <c:v>3548</c:v>
                </c:pt>
                <c:pt idx="82">
                  <c:v>3432</c:v>
                </c:pt>
                <c:pt idx="83">
                  <c:v>3321</c:v>
                </c:pt>
                <c:pt idx="84">
                  <c:v>3041</c:v>
                </c:pt>
                <c:pt idx="85">
                  <c:v>2962</c:v>
                </c:pt>
                <c:pt idx="86">
                  <c:v>2902</c:v>
                </c:pt>
                <c:pt idx="87">
                  <c:v>2879</c:v>
                </c:pt>
                <c:pt idx="88">
                  <c:v>3107</c:v>
                </c:pt>
                <c:pt idx="89">
                  <c:v>3073</c:v>
                </c:pt>
                <c:pt idx="90">
                  <c:v>3031</c:v>
                </c:pt>
                <c:pt idx="91">
                  <c:v>3000</c:v>
                </c:pt>
                <c:pt idx="92">
                  <c:v>2863</c:v>
                </c:pt>
                <c:pt idx="93">
                  <c:v>2857</c:v>
                </c:pt>
                <c:pt idx="94">
                  <c:v>2914</c:v>
                </c:pt>
                <c:pt idx="95">
                  <c:v>2907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Multi_Period!$Q$3:$Q$4</c:f>
              <c:strCache>
                <c:ptCount val="1"/>
                <c:pt idx="0">
                  <c:v>Sum of HW</c:v>
                </c:pt>
              </c:strCache>
            </c:strRef>
          </c:tx>
          <c:marker>
            <c:symbol val="none"/>
          </c:marker>
          <c:cat>
            <c:strRef>
              <c:f>Multi_Period!$O$5:$O$100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Multi_Period!$Q$5:$Q$100</c:f>
              <c:numCache>
                <c:formatCode>General</c:formatCode>
                <c:ptCount val="96"/>
                <c:pt idx="0">
                  <c:v>2811.61656813229</c:v>
                </c:pt>
                <c:pt idx="1">
                  <c:v>2810.4956146786799</c:v>
                </c:pt>
                <c:pt idx="2">
                  <c:v>2820.9013446629901</c:v>
                </c:pt>
                <c:pt idx="3">
                  <c:v>2844.1899819320201</c:v>
                </c:pt>
                <c:pt idx="4">
                  <c:v>2886.2197668057001</c:v>
                </c:pt>
                <c:pt idx="5">
                  <c:v>2885.6780620555901</c:v>
                </c:pt>
                <c:pt idx="6">
                  <c:v>2898.2747582751599</c:v>
                </c:pt>
                <c:pt idx="7">
                  <c:v>2884.6860250764598</c:v>
                </c:pt>
                <c:pt idx="8">
                  <c:v>2889.4119501464202</c:v>
                </c:pt>
                <c:pt idx="9">
                  <c:v>2873.7099780041899</c:v>
                </c:pt>
                <c:pt idx="10">
                  <c:v>2856.4148857666701</c:v>
                </c:pt>
                <c:pt idx="11">
                  <c:v>2865.12690104592</c:v>
                </c:pt>
                <c:pt idx="12">
                  <c:v>2880.1716484458598</c:v>
                </c:pt>
                <c:pt idx="13">
                  <c:v>2880.63939395529</c:v>
                </c:pt>
                <c:pt idx="14">
                  <c:v>2932.6569852500402</c:v>
                </c:pt>
                <c:pt idx="15">
                  <c:v>2953.6486456686198</c:v>
                </c:pt>
                <c:pt idx="16">
                  <c:v>2959.0205359759102</c:v>
                </c:pt>
                <c:pt idx="17">
                  <c:v>3006.47282787122</c:v>
                </c:pt>
                <c:pt idx="18">
                  <c:v>3082.3924914801801</c:v>
                </c:pt>
                <c:pt idx="19">
                  <c:v>3144.5644090491701</c:v>
                </c:pt>
                <c:pt idx="20">
                  <c:v>3307.7104164929401</c:v>
                </c:pt>
                <c:pt idx="21">
                  <c:v>3425.5300100660402</c:v>
                </c:pt>
                <c:pt idx="22">
                  <c:v>3578.3845165430598</c:v>
                </c:pt>
                <c:pt idx="23">
                  <c:v>3702.4883286333502</c:v>
                </c:pt>
                <c:pt idx="24">
                  <c:v>4414.9836879247796</c:v>
                </c:pt>
                <c:pt idx="25">
                  <c:v>4568.0238407217603</c:v>
                </c:pt>
                <c:pt idx="26">
                  <c:v>4588.2120433285399</c:v>
                </c:pt>
                <c:pt idx="27">
                  <c:v>4623.2509364473299</c:v>
                </c:pt>
                <c:pt idx="28">
                  <c:v>4764.2985119721097</c:v>
                </c:pt>
                <c:pt idx="29">
                  <c:v>4815.7187987500802</c:v>
                </c:pt>
                <c:pt idx="30">
                  <c:v>4834.5897007213498</c:v>
                </c:pt>
                <c:pt idx="31">
                  <c:v>4858.3578002369604</c:v>
                </c:pt>
                <c:pt idx="32">
                  <c:v>4831.1100817547804</c:v>
                </c:pt>
                <c:pt idx="33">
                  <c:v>4858.1566859842096</c:v>
                </c:pt>
                <c:pt idx="34">
                  <c:v>4715.8154824946296</c:v>
                </c:pt>
                <c:pt idx="35">
                  <c:v>4652.0875126477404</c:v>
                </c:pt>
                <c:pt idx="36">
                  <c:v>4641.2729908374404</c:v>
                </c:pt>
                <c:pt idx="37">
                  <c:v>4591.8304410292903</c:v>
                </c:pt>
                <c:pt idx="38">
                  <c:v>4526.61914990883</c:v>
                </c:pt>
                <c:pt idx="39">
                  <c:v>4496.0233075743499</c:v>
                </c:pt>
                <c:pt idx="40">
                  <c:v>4307.9452617860397</c:v>
                </c:pt>
                <c:pt idx="41">
                  <c:v>4243.5917956298599</c:v>
                </c:pt>
                <c:pt idx="42">
                  <c:v>4202.1064225049404</c:v>
                </c:pt>
                <c:pt idx="43">
                  <c:v>4121.3658275326297</c:v>
                </c:pt>
                <c:pt idx="44">
                  <c:v>3998.6234903964701</c:v>
                </c:pt>
                <c:pt idx="45">
                  <c:v>3970.29348422471</c:v>
                </c:pt>
                <c:pt idx="46">
                  <c:v>3951.5572229962399</c:v>
                </c:pt>
                <c:pt idx="47">
                  <c:v>3924.1754859112598</c:v>
                </c:pt>
                <c:pt idx="48">
                  <c:v>3852.7871301578598</c:v>
                </c:pt>
                <c:pt idx="49">
                  <c:v>3825.8757341609398</c:v>
                </c:pt>
                <c:pt idx="50">
                  <c:v>3804.11080973244</c:v>
                </c:pt>
                <c:pt idx="51">
                  <c:v>3826.8643449369301</c:v>
                </c:pt>
                <c:pt idx="52">
                  <c:v>3915.6481902594701</c:v>
                </c:pt>
                <c:pt idx="53">
                  <c:v>3927.5454559764999</c:v>
                </c:pt>
                <c:pt idx="54">
                  <c:v>3921.1523254550898</c:v>
                </c:pt>
                <c:pt idx="55">
                  <c:v>3919.4626205442</c:v>
                </c:pt>
                <c:pt idx="56">
                  <c:v>4062.4652906451402</c:v>
                </c:pt>
                <c:pt idx="57">
                  <c:v>4036.3279568646199</c:v>
                </c:pt>
                <c:pt idx="58">
                  <c:v>4050.8186052881902</c:v>
                </c:pt>
                <c:pt idx="59">
                  <c:v>3974.3159416522299</c:v>
                </c:pt>
                <c:pt idx="60">
                  <c:v>4046.6182938878601</c:v>
                </c:pt>
                <c:pt idx="61">
                  <c:v>4015.7308643842098</c:v>
                </c:pt>
                <c:pt idx="62">
                  <c:v>4017.5643534056699</c:v>
                </c:pt>
                <c:pt idx="63">
                  <c:v>4046.2798727539098</c:v>
                </c:pt>
                <c:pt idx="64">
                  <c:v>4113.0322499805197</c:v>
                </c:pt>
                <c:pt idx="65">
                  <c:v>4086.7985953900902</c:v>
                </c:pt>
                <c:pt idx="66">
                  <c:v>4057.0108198425301</c:v>
                </c:pt>
                <c:pt idx="67">
                  <c:v>4089.0666299068998</c:v>
                </c:pt>
                <c:pt idx="68">
                  <c:v>4120.9427530412004</c:v>
                </c:pt>
                <c:pt idx="69">
                  <c:v>4142.0947912738902</c:v>
                </c:pt>
                <c:pt idx="70">
                  <c:v>4158.6817608958299</c:v>
                </c:pt>
                <c:pt idx="71">
                  <c:v>4082.6522988186298</c:v>
                </c:pt>
                <c:pt idx="72">
                  <c:v>4256.5919753767203</c:v>
                </c:pt>
                <c:pt idx="73">
                  <c:v>4296.3875961122003</c:v>
                </c:pt>
                <c:pt idx="74">
                  <c:v>4335.1976437277199</c:v>
                </c:pt>
                <c:pt idx="75">
                  <c:v>4381.4254620033698</c:v>
                </c:pt>
                <c:pt idx="76">
                  <c:v>4538.18062695767</c:v>
                </c:pt>
                <c:pt idx="77">
                  <c:v>4476.2501350458197</c:v>
                </c:pt>
                <c:pt idx="78">
                  <c:v>4410.3520612780503</c:v>
                </c:pt>
                <c:pt idx="79">
                  <c:v>4244.4160316117104</c:v>
                </c:pt>
                <c:pt idx="80">
                  <c:v>3924.0002301095101</c:v>
                </c:pt>
                <c:pt idx="81">
                  <c:v>3800.52156191515</c:v>
                </c:pt>
                <c:pt idx="82">
                  <c:v>3665.8105685866999</c:v>
                </c:pt>
                <c:pt idx="83">
                  <c:v>3635.9542176427599</c:v>
                </c:pt>
                <c:pt idx="84">
                  <c:v>3286.09765702095</c:v>
                </c:pt>
                <c:pt idx="85">
                  <c:v>3277.4029140073299</c:v>
                </c:pt>
                <c:pt idx="86">
                  <c:v>3033.36176925777</c:v>
                </c:pt>
                <c:pt idx="87">
                  <c:v>2998.26979032692</c:v>
                </c:pt>
                <c:pt idx="88">
                  <c:v>3101.5370382129199</c:v>
                </c:pt>
                <c:pt idx="89">
                  <c:v>3205.91619283625</c:v>
                </c:pt>
                <c:pt idx="90">
                  <c:v>3106.1634080615099</c:v>
                </c:pt>
                <c:pt idx="91">
                  <c:v>3065.8100309082702</c:v>
                </c:pt>
                <c:pt idx="92">
                  <c:v>3013.37665757377</c:v>
                </c:pt>
                <c:pt idx="93">
                  <c:v>3001.3574994875898</c:v>
                </c:pt>
                <c:pt idx="94">
                  <c:v>3007.9840329738499</c:v>
                </c:pt>
                <c:pt idx="95">
                  <c:v>3016.9094745770599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Multi_Period!$R$3:$R$4</c:f>
              <c:strCache>
                <c:ptCount val="1"/>
                <c:pt idx="0">
                  <c:v>Sum of Arfima2</c:v>
                </c:pt>
              </c:strCache>
            </c:strRef>
          </c:tx>
          <c:marker>
            <c:symbol val="none"/>
          </c:marker>
          <c:cat>
            <c:strRef>
              <c:f>Multi_Period!$O$5:$O$100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Multi_Period!$R$5:$R$100</c:f>
              <c:numCache>
                <c:formatCode>General</c:formatCode>
                <c:ptCount val="96"/>
                <c:pt idx="0">
                  <c:v>2926.8187867305101</c:v>
                </c:pt>
                <c:pt idx="1">
                  <c:v>2939.6826191372402</c:v>
                </c:pt>
                <c:pt idx="2">
                  <c:v>2936.6721324158998</c:v>
                </c:pt>
                <c:pt idx="3">
                  <c:v>2954.98677830218</c:v>
                </c:pt>
                <c:pt idx="4">
                  <c:v>2958.7688889781998</c:v>
                </c:pt>
                <c:pt idx="5">
                  <c:v>2994.9454739257499</c:v>
                </c:pt>
                <c:pt idx="6">
                  <c:v>2982.72101439886</c:v>
                </c:pt>
                <c:pt idx="7">
                  <c:v>2985.80678518781</c:v>
                </c:pt>
                <c:pt idx="8">
                  <c:v>2951.1762237356202</c:v>
                </c:pt>
                <c:pt idx="9">
                  <c:v>2921.9452544903602</c:v>
                </c:pt>
                <c:pt idx="10">
                  <c:v>2911.3802100796902</c:v>
                </c:pt>
                <c:pt idx="11">
                  <c:v>2911.81364918708</c:v>
                </c:pt>
                <c:pt idx="12">
                  <c:v>2897.10305393726</c:v>
                </c:pt>
                <c:pt idx="13">
                  <c:v>2912.5801626889502</c:v>
                </c:pt>
                <c:pt idx="14">
                  <c:v>2952.2841521745499</c:v>
                </c:pt>
                <c:pt idx="15">
                  <c:v>2968.6260025963102</c:v>
                </c:pt>
                <c:pt idx="16">
                  <c:v>2993.61222280433</c:v>
                </c:pt>
                <c:pt idx="17">
                  <c:v>3040.5327684578401</c:v>
                </c:pt>
                <c:pt idx="18">
                  <c:v>3100.7100735854401</c:v>
                </c:pt>
                <c:pt idx="19">
                  <c:v>3168.89838566545</c:v>
                </c:pt>
                <c:pt idx="20">
                  <c:v>3300.2638051583599</c:v>
                </c:pt>
                <c:pt idx="21">
                  <c:v>3382.9568544773501</c:v>
                </c:pt>
                <c:pt idx="22">
                  <c:v>3518.7675691035802</c:v>
                </c:pt>
                <c:pt idx="23">
                  <c:v>3678.3866061676899</c:v>
                </c:pt>
                <c:pt idx="24">
                  <c:v>4327.8461841746002</c:v>
                </c:pt>
                <c:pt idx="25">
                  <c:v>4484.3514907755698</c:v>
                </c:pt>
                <c:pt idx="26">
                  <c:v>4492.9804137645897</c:v>
                </c:pt>
                <c:pt idx="27">
                  <c:v>4540.8277624109896</c:v>
                </c:pt>
                <c:pt idx="28">
                  <c:v>4692.4338314334</c:v>
                </c:pt>
                <c:pt idx="29">
                  <c:v>4746.6631559584303</c:v>
                </c:pt>
                <c:pt idx="30">
                  <c:v>4750.80730499521</c:v>
                </c:pt>
                <c:pt idx="31">
                  <c:v>4773.3439476601397</c:v>
                </c:pt>
                <c:pt idx="32">
                  <c:v>4739.9272450323497</c:v>
                </c:pt>
                <c:pt idx="33">
                  <c:v>4774.3890712934699</c:v>
                </c:pt>
                <c:pt idx="34">
                  <c:v>4640.0222518473302</c:v>
                </c:pt>
                <c:pt idx="35">
                  <c:v>4581.2887774610199</c:v>
                </c:pt>
                <c:pt idx="36">
                  <c:v>4605.711808258</c:v>
                </c:pt>
                <c:pt idx="37">
                  <c:v>4577.4713265649098</c:v>
                </c:pt>
                <c:pt idx="38">
                  <c:v>4506.8146405235302</c:v>
                </c:pt>
                <c:pt idx="39">
                  <c:v>4505.5999057571898</c:v>
                </c:pt>
                <c:pt idx="40">
                  <c:v>4344.1513034881</c:v>
                </c:pt>
                <c:pt idx="41">
                  <c:v>4277.5972373447503</c:v>
                </c:pt>
                <c:pt idx="42">
                  <c:v>4244.0345566948799</c:v>
                </c:pt>
                <c:pt idx="43">
                  <c:v>4159.9059559706502</c:v>
                </c:pt>
                <c:pt idx="44">
                  <c:v>4101.8570432751603</c:v>
                </c:pt>
                <c:pt idx="45">
                  <c:v>4076.4866139502201</c:v>
                </c:pt>
                <c:pt idx="46">
                  <c:v>4038.9416228708101</c:v>
                </c:pt>
                <c:pt idx="47">
                  <c:v>4007.70158511314</c:v>
                </c:pt>
                <c:pt idx="48">
                  <c:v>3865.1986764530802</c:v>
                </c:pt>
                <c:pt idx="49">
                  <c:v>3855.2003424746199</c:v>
                </c:pt>
                <c:pt idx="50">
                  <c:v>3850.1470994577699</c:v>
                </c:pt>
                <c:pt idx="51">
                  <c:v>3865.0749778140898</c:v>
                </c:pt>
                <c:pt idx="52">
                  <c:v>3934.6888059523299</c:v>
                </c:pt>
                <c:pt idx="53">
                  <c:v>3944.8503583983502</c:v>
                </c:pt>
                <c:pt idx="54">
                  <c:v>3943.4222163224799</c:v>
                </c:pt>
                <c:pt idx="55">
                  <c:v>3964.9795962036801</c:v>
                </c:pt>
                <c:pt idx="56">
                  <c:v>4188.5876801408103</c:v>
                </c:pt>
                <c:pt idx="57">
                  <c:v>4144.6930691585003</c:v>
                </c:pt>
                <c:pt idx="58">
                  <c:v>4141.1303683666501</c:v>
                </c:pt>
                <c:pt idx="59">
                  <c:v>4070.4378653668</c:v>
                </c:pt>
                <c:pt idx="60">
                  <c:v>4192.4511696375903</c:v>
                </c:pt>
                <c:pt idx="61">
                  <c:v>4128.06087249354</c:v>
                </c:pt>
                <c:pt idx="62">
                  <c:v>4148.2793119178205</c:v>
                </c:pt>
                <c:pt idx="63">
                  <c:v>4141.5565604810399</c:v>
                </c:pt>
                <c:pt idx="64">
                  <c:v>4188.5280283878001</c:v>
                </c:pt>
                <c:pt idx="65">
                  <c:v>4167.6708739100904</c:v>
                </c:pt>
                <c:pt idx="66">
                  <c:v>4132.3505364162502</c:v>
                </c:pt>
                <c:pt idx="67">
                  <c:v>4169.31093089348</c:v>
                </c:pt>
                <c:pt idx="68">
                  <c:v>4226.5234465356498</c:v>
                </c:pt>
                <c:pt idx="69">
                  <c:v>4247.6297700796304</c:v>
                </c:pt>
                <c:pt idx="70">
                  <c:v>4261.9598139026803</c:v>
                </c:pt>
                <c:pt idx="71">
                  <c:v>4181.7397052954402</c:v>
                </c:pt>
                <c:pt idx="72">
                  <c:v>4294.0576350712599</c:v>
                </c:pt>
                <c:pt idx="73">
                  <c:v>4316.4041654734101</c:v>
                </c:pt>
                <c:pt idx="74">
                  <c:v>4373.9487609471798</c:v>
                </c:pt>
                <c:pt idx="75">
                  <c:v>4427.4036076109696</c:v>
                </c:pt>
                <c:pt idx="76">
                  <c:v>4574.4538469150102</c:v>
                </c:pt>
                <c:pt idx="77">
                  <c:v>4511.8459107729104</c:v>
                </c:pt>
                <c:pt idx="78">
                  <c:v>4432.0653429241602</c:v>
                </c:pt>
                <c:pt idx="79">
                  <c:v>4267.1692435205996</c:v>
                </c:pt>
                <c:pt idx="80">
                  <c:v>3973.4955191198201</c:v>
                </c:pt>
                <c:pt idx="81">
                  <c:v>3853.3048670517501</c:v>
                </c:pt>
                <c:pt idx="82">
                  <c:v>3745.9395704947001</c:v>
                </c:pt>
                <c:pt idx="83">
                  <c:v>3716.24162560888</c:v>
                </c:pt>
                <c:pt idx="84">
                  <c:v>3296.6953896590298</c:v>
                </c:pt>
                <c:pt idx="85">
                  <c:v>3292.7792458420599</c:v>
                </c:pt>
                <c:pt idx="86">
                  <c:v>3081.0717830806302</c:v>
                </c:pt>
                <c:pt idx="87">
                  <c:v>3047.6005446730401</c:v>
                </c:pt>
                <c:pt idx="88">
                  <c:v>3222.81529490614</c:v>
                </c:pt>
                <c:pt idx="89">
                  <c:v>3313.8772745414699</c:v>
                </c:pt>
                <c:pt idx="90">
                  <c:v>3177.67047443613</c:v>
                </c:pt>
                <c:pt idx="91">
                  <c:v>3111.6695220168599</c:v>
                </c:pt>
                <c:pt idx="92">
                  <c:v>3000.7659473106301</c:v>
                </c:pt>
                <c:pt idx="93">
                  <c:v>3012.6923137776598</c:v>
                </c:pt>
                <c:pt idx="94">
                  <c:v>3043.0305332070502</c:v>
                </c:pt>
                <c:pt idx="95">
                  <c:v>3045.8281214415401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Multi_Period!$S$3:$S$4</c:f>
              <c:strCache>
                <c:ptCount val="1"/>
                <c:pt idx="0">
                  <c:v>Sum of Arfima1</c:v>
                </c:pt>
              </c:strCache>
            </c:strRef>
          </c:tx>
          <c:marker>
            <c:symbol val="none"/>
          </c:marker>
          <c:cat>
            <c:strRef>
              <c:f>Multi_Period!$O$5:$O$100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Multi_Period!$S$5:$S$100</c:f>
              <c:numCache>
                <c:formatCode>General</c:formatCode>
                <c:ptCount val="96"/>
                <c:pt idx="0">
                  <c:v>2953.3630211729101</c:v>
                </c:pt>
                <c:pt idx="1">
                  <c:v>2956.2416717185702</c:v>
                </c:pt>
                <c:pt idx="2">
                  <c:v>2953.0092709014302</c:v>
                </c:pt>
                <c:pt idx="3">
                  <c:v>2971.7208780718402</c:v>
                </c:pt>
                <c:pt idx="4">
                  <c:v>2967.3912383151801</c:v>
                </c:pt>
                <c:pt idx="5">
                  <c:v>2979.9481846824901</c:v>
                </c:pt>
                <c:pt idx="6">
                  <c:v>2994.05040205567</c:v>
                </c:pt>
                <c:pt idx="7">
                  <c:v>2990.92661727418</c:v>
                </c:pt>
                <c:pt idx="8">
                  <c:v>2970.07726021183</c:v>
                </c:pt>
                <c:pt idx="9">
                  <c:v>2948.07310370404</c:v>
                </c:pt>
                <c:pt idx="10">
                  <c:v>2917.89234854496</c:v>
                </c:pt>
                <c:pt idx="11">
                  <c:v>2918.8015780661699</c:v>
                </c:pt>
                <c:pt idx="12">
                  <c:v>2893.9514788976599</c:v>
                </c:pt>
                <c:pt idx="13">
                  <c:v>2917.6710272412702</c:v>
                </c:pt>
                <c:pt idx="14">
                  <c:v>2956.8414193015401</c:v>
                </c:pt>
                <c:pt idx="15">
                  <c:v>2972.2689137443799</c:v>
                </c:pt>
                <c:pt idx="16">
                  <c:v>2988.5846769956402</c:v>
                </c:pt>
                <c:pt idx="17">
                  <c:v>3035.56821412112</c:v>
                </c:pt>
                <c:pt idx="18">
                  <c:v>3101.0211064530399</c:v>
                </c:pt>
                <c:pt idx="19">
                  <c:v>3170.2829916115802</c:v>
                </c:pt>
                <c:pt idx="20">
                  <c:v>3293.8427517396999</c:v>
                </c:pt>
                <c:pt idx="21">
                  <c:v>3395.7577320072501</c:v>
                </c:pt>
                <c:pt idx="22">
                  <c:v>3534.0739091291898</c:v>
                </c:pt>
                <c:pt idx="23">
                  <c:v>3661.2396952992399</c:v>
                </c:pt>
                <c:pt idx="24">
                  <c:v>4293.1106301883501</c:v>
                </c:pt>
                <c:pt idx="25">
                  <c:v>4472.6531580574501</c:v>
                </c:pt>
                <c:pt idx="26">
                  <c:v>4508.2105636104397</c:v>
                </c:pt>
                <c:pt idx="27">
                  <c:v>4549.4837845205602</c:v>
                </c:pt>
                <c:pt idx="28">
                  <c:v>4693.9523521375704</c:v>
                </c:pt>
                <c:pt idx="29">
                  <c:v>4745.2796250016099</c:v>
                </c:pt>
                <c:pt idx="30">
                  <c:v>4767.6415490732297</c:v>
                </c:pt>
                <c:pt idx="31">
                  <c:v>4766.7724899383102</c:v>
                </c:pt>
                <c:pt idx="32">
                  <c:v>4685.8498820165696</c:v>
                </c:pt>
                <c:pt idx="33">
                  <c:v>4771.0047094379597</c:v>
                </c:pt>
                <c:pt idx="34">
                  <c:v>4635.0488826418296</c:v>
                </c:pt>
                <c:pt idx="35">
                  <c:v>4574.8790320676299</c:v>
                </c:pt>
                <c:pt idx="36">
                  <c:v>4599.3059068172297</c:v>
                </c:pt>
                <c:pt idx="37">
                  <c:v>4571.1080317384703</c:v>
                </c:pt>
                <c:pt idx="38">
                  <c:v>4500.40752799455</c:v>
                </c:pt>
                <c:pt idx="39">
                  <c:v>4498.9556194511197</c:v>
                </c:pt>
                <c:pt idx="40">
                  <c:v>4345.8125117466298</c:v>
                </c:pt>
                <c:pt idx="41">
                  <c:v>4270.2775984294603</c:v>
                </c:pt>
                <c:pt idx="42">
                  <c:v>4236.1596806070002</c:v>
                </c:pt>
                <c:pt idx="43">
                  <c:v>4153.2553736943</c:v>
                </c:pt>
                <c:pt idx="44">
                  <c:v>4093.5096971099802</c:v>
                </c:pt>
                <c:pt idx="45">
                  <c:v>4069.2140744664098</c:v>
                </c:pt>
                <c:pt idx="46">
                  <c:v>4031.9469497345899</c:v>
                </c:pt>
                <c:pt idx="47">
                  <c:v>4000.90183831492</c:v>
                </c:pt>
                <c:pt idx="48">
                  <c:v>3858.76968262331</c:v>
                </c:pt>
                <c:pt idx="49">
                  <c:v>3848.12898947125</c:v>
                </c:pt>
                <c:pt idx="50">
                  <c:v>3843.0564162637302</c:v>
                </c:pt>
                <c:pt idx="51">
                  <c:v>3845.3546161151899</c:v>
                </c:pt>
                <c:pt idx="52">
                  <c:v>3922.77330438739</c:v>
                </c:pt>
                <c:pt idx="53">
                  <c:v>3920.6368254469699</c:v>
                </c:pt>
                <c:pt idx="54">
                  <c:v>3935.8315233032799</c:v>
                </c:pt>
                <c:pt idx="55">
                  <c:v>3943.1067764376398</c:v>
                </c:pt>
                <c:pt idx="56">
                  <c:v>4165.3421551852398</c:v>
                </c:pt>
                <c:pt idx="57">
                  <c:v>4137.2577001507898</c:v>
                </c:pt>
                <c:pt idx="58">
                  <c:v>4131.32825318094</c:v>
                </c:pt>
                <c:pt idx="59">
                  <c:v>4061.2887592505799</c:v>
                </c:pt>
                <c:pt idx="60">
                  <c:v>4146.9693375931802</c:v>
                </c:pt>
                <c:pt idx="61">
                  <c:v>4128.82447965745</c:v>
                </c:pt>
                <c:pt idx="62">
                  <c:v>4143.6019501812198</c:v>
                </c:pt>
                <c:pt idx="63">
                  <c:v>4172.3121184076599</c:v>
                </c:pt>
                <c:pt idx="64">
                  <c:v>4179.5338264532802</c:v>
                </c:pt>
                <c:pt idx="65">
                  <c:v>4140.2839155538004</c:v>
                </c:pt>
                <c:pt idx="66">
                  <c:v>4108.8727778768998</c:v>
                </c:pt>
                <c:pt idx="67">
                  <c:v>4160.2126330882902</c:v>
                </c:pt>
                <c:pt idx="68">
                  <c:v>4212.2358093551202</c:v>
                </c:pt>
                <c:pt idx="69">
                  <c:v>4239.0721789982299</c:v>
                </c:pt>
                <c:pt idx="70">
                  <c:v>4253.0108429635602</c:v>
                </c:pt>
                <c:pt idx="71">
                  <c:v>4173.0484389863104</c:v>
                </c:pt>
                <c:pt idx="72">
                  <c:v>4284.64338223702</c:v>
                </c:pt>
                <c:pt idx="73">
                  <c:v>4307.4679531100501</c:v>
                </c:pt>
                <c:pt idx="74">
                  <c:v>4364.4351032775803</c:v>
                </c:pt>
                <c:pt idx="75">
                  <c:v>4412.98701217096</c:v>
                </c:pt>
                <c:pt idx="76">
                  <c:v>4591.7610792512196</c:v>
                </c:pt>
                <c:pt idx="77">
                  <c:v>4505.1663260000296</c:v>
                </c:pt>
                <c:pt idx="78">
                  <c:v>4425.9134789855298</c:v>
                </c:pt>
                <c:pt idx="79">
                  <c:v>4285.1279605310401</c:v>
                </c:pt>
                <c:pt idx="80">
                  <c:v>3974.8216873787801</c:v>
                </c:pt>
                <c:pt idx="81">
                  <c:v>3854.5042785451101</c:v>
                </c:pt>
                <c:pt idx="82">
                  <c:v>3739.86386060422</c:v>
                </c:pt>
                <c:pt idx="83">
                  <c:v>3708.0298773658501</c:v>
                </c:pt>
                <c:pt idx="84">
                  <c:v>3287.7639706742898</c:v>
                </c:pt>
                <c:pt idx="85">
                  <c:v>3283.8113764296299</c:v>
                </c:pt>
                <c:pt idx="86">
                  <c:v>3074.3156661810299</c:v>
                </c:pt>
                <c:pt idx="87">
                  <c:v>3042.5892795392701</c:v>
                </c:pt>
                <c:pt idx="88">
                  <c:v>3217.8068853382902</c:v>
                </c:pt>
                <c:pt idx="89">
                  <c:v>3308.3793655881</c:v>
                </c:pt>
                <c:pt idx="90">
                  <c:v>3179.2569337831701</c:v>
                </c:pt>
                <c:pt idx="91">
                  <c:v>3112.8553841370099</c:v>
                </c:pt>
                <c:pt idx="92">
                  <c:v>3003.1529888100299</c:v>
                </c:pt>
                <c:pt idx="93">
                  <c:v>3010.2938218552499</c:v>
                </c:pt>
                <c:pt idx="94">
                  <c:v>3038.46084288663</c:v>
                </c:pt>
                <c:pt idx="95">
                  <c:v>3041.1891152108501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Multi_Period!$T$3:$T$4</c:f>
              <c:strCache>
                <c:ptCount val="1"/>
                <c:pt idx="0">
                  <c:v>Sum of FF1</c:v>
                </c:pt>
              </c:strCache>
            </c:strRef>
          </c:tx>
          <c:marker>
            <c:symbol val="none"/>
          </c:marker>
          <c:cat>
            <c:strRef>
              <c:f>Multi_Period!$O$5:$O$100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Multi_Period!$T$5:$T$100</c:f>
              <c:numCache>
                <c:formatCode>General</c:formatCode>
                <c:ptCount val="96"/>
                <c:pt idx="0">
                  <c:v>2950.6145030580401</c:v>
                </c:pt>
                <c:pt idx="1">
                  <c:v>2946.5077452140799</c:v>
                </c:pt>
                <c:pt idx="2">
                  <c:v>2927.97600510349</c:v>
                </c:pt>
                <c:pt idx="3">
                  <c:v>2938.17481882313</c:v>
                </c:pt>
                <c:pt idx="4">
                  <c:v>2926.8689224526202</c:v>
                </c:pt>
                <c:pt idx="5">
                  <c:v>2930.0698963022501</c:v>
                </c:pt>
                <c:pt idx="6">
                  <c:v>2936.5456807350201</c:v>
                </c:pt>
                <c:pt idx="7">
                  <c:v>2926.96734229294</c:v>
                </c:pt>
                <c:pt idx="8">
                  <c:v>2877.9400343933999</c:v>
                </c:pt>
                <c:pt idx="9">
                  <c:v>2867.5572043500802</c:v>
                </c:pt>
                <c:pt idx="10">
                  <c:v>2872.91645862829</c:v>
                </c:pt>
                <c:pt idx="11">
                  <c:v>2886.9572173660899</c:v>
                </c:pt>
                <c:pt idx="12">
                  <c:v>2874.5908241679399</c:v>
                </c:pt>
                <c:pt idx="13">
                  <c:v>2882.0232129469</c:v>
                </c:pt>
                <c:pt idx="14">
                  <c:v>2908.4379336175498</c:v>
                </c:pt>
                <c:pt idx="15">
                  <c:v>2925.9360654905799</c:v>
                </c:pt>
                <c:pt idx="16">
                  <c:v>2945.13300337699</c:v>
                </c:pt>
                <c:pt idx="17">
                  <c:v>2985.9788751942001</c:v>
                </c:pt>
                <c:pt idx="18">
                  <c:v>3048.1909221385599</c:v>
                </c:pt>
                <c:pt idx="19">
                  <c:v>3122.8426431713501</c:v>
                </c:pt>
                <c:pt idx="20">
                  <c:v>3247.8421657636</c:v>
                </c:pt>
                <c:pt idx="21">
                  <c:v>3340.1545401992998</c:v>
                </c:pt>
                <c:pt idx="22">
                  <c:v>3461.0296317945299</c:v>
                </c:pt>
                <c:pt idx="23">
                  <c:v>3618.4816982390498</c:v>
                </c:pt>
                <c:pt idx="24">
                  <c:v>4069.8696302725102</c:v>
                </c:pt>
                <c:pt idx="25">
                  <c:v>4211.1211693158702</c:v>
                </c:pt>
                <c:pt idx="26">
                  <c:v>4273.3648965718903</c:v>
                </c:pt>
                <c:pt idx="27">
                  <c:v>4342.1060543021003</c:v>
                </c:pt>
                <c:pt idx="28">
                  <c:v>4519.6238612242496</c:v>
                </c:pt>
                <c:pt idx="29">
                  <c:v>4611.0723415528801</c:v>
                </c:pt>
                <c:pt idx="30">
                  <c:v>4614.66517011824</c:v>
                </c:pt>
                <c:pt idx="31">
                  <c:v>4612.4935231821801</c:v>
                </c:pt>
                <c:pt idx="32">
                  <c:v>4642.8537694125498</c:v>
                </c:pt>
                <c:pt idx="33">
                  <c:v>4628.2155805847497</c:v>
                </c:pt>
                <c:pt idx="34">
                  <c:v>4551.4100518126497</c:v>
                </c:pt>
                <c:pt idx="35">
                  <c:v>4491.5949592062598</c:v>
                </c:pt>
                <c:pt idx="36">
                  <c:v>4508.5796829438304</c:v>
                </c:pt>
                <c:pt idx="37">
                  <c:v>4482.1020573923997</c:v>
                </c:pt>
                <c:pt idx="38">
                  <c:v>4425.3728804849598</c:v>
                </c:pt>
                <c:pt idx="39">
                  <c:v>4393.9678954297096</c:v>
                </c:pt>
                <c:pt idx="40">
                  <c:v>4192.8553311321602</c:v>
                </c:pt>
                <c:pt idx="41">
                  <c:v>4157.0740743161195</c:v>
                </c:pt>
                <c:pt idx="42">
                  <c:v>4114.0045930492597</c:v>
                </c:pt>
                <c:pt idx="43">
                  <c:v>4076.3801747715702</c:v>
                </c:pt>
                <c:pt idx="44">
                  <c:v>3984.4316138127101</c:v>
                </c:pt>
                <c:pt idx="45">
                  <c:v>3975.6722941893599</c:v>
                </c:pt>
                <c:pt idx="46">
                  <c:v>3946.4206221035001</c:v>
                </c:pt>
                <c:pt idx="47">
                  <c:v>3925.6176375175</c:v>
                </c:pt>
                <c:pt idx="48">
                  <c:v>3845.88867952791</c:v>
                </c:pt>
                <c:pt idx="49">
                  <c:v>3830.2191753715001</c:v>
                </c:pt>
                <c:pt idx="50">
                  <c:v>3809.4741018403502</c:v>
                </c:pt>
                <c:pt idx="51">
                  <c:v>3807.5828557822701</c:v>
                </c:pt>
                <c:pt idx="52">
                  <c:v>3779.1552501129299</c:v>
                </c:pt>
                <c:pt idx="53">
                  <c:v>3788.1777668717</c:v>
                </c:pt>
                <c:pt idx="54">
                  <c:v>3806.4211781078502</c:v>
                </c:pt>
                <c:pt idx="55">
                  <c:v>3847.8354472312099</c:v>
                </c:pt>
                <c:pt idx="56">
                  <c:v>4006.7023513100999</c:v>
                </c:pt>
                <c:pt idx="57">
                  <c:v>3964.38526892967</c:v>
                </c:pt>
                <c:pt idx="58">
                  <c:v>3948.07252136944</c:v>
                </c:pt>
                <c:pt idx="59">
                  <c:v>3922.1203516933401</c:v>
                </c:pt>
                <c:pt idx="60">
                  <c:v>3981.8460339139401</c:v>
                </c:pt>
                <c:pt idx="61">
                  <c:v>3984.1523273033899</c:v>
                </c:pt>
                <c:pt idx="62">
                  <c:v>4009.94737797271</c:v>
                </c:pt>
                <c:pt idx="63">
                  <c:v>4029.2931143309802</c:v>
                </c:pt>
                <c:pt idx="64">
                  <c:v>4068.87413018292</c:v>
                </c:pt>
                <c:pt idx="65">
                  <c:v>4055.0184166447102</c:v>
                </c:pt>
                <c:pt idx="66">
                  <c:v>4031.6671874383701</c:v>
                </c:pt>
                <c:pt idx="67">
                  <c:v>4046.5789699812399</c:v>
                </c:pt>
                <c:pt idx="68">
                  <c:v>4084.1693667023301</c:v>
                </c:pt>
                <c:pt idx="69">
                  <c:v>4099.2364333394999</c:v>
                </c:pt>
                <c:pt idx="70">
                  <c:v>4106.4176892816004</c:v>
                </c:pt>
                <c:pt idx="71">
                  <c:v>4090.72093448241</c:v>
                </c:pt>
                <c:pt idx="72">
                  <c:v>4129.2419139807198</c:v>
                </c:pt>
                <c:pt idx="73">
                  <c:v>4269.6598444936899</c:v>
                </c:pt>
                <c:pt idx="74">
                  <c:v>4397.0239231800297</c:v>
                </c:pt>
                <c:pt idx="75">
                  <c:v>4419.82703563824</c:v>
                </c:pt>
                <c:pt idx="76">
                  <c:v>4368.6339904986598</c:v>
                </c:pt>
                <c:pt idx="77">
                  <c:v>4311.5293874905301</c:v>
                </c:pt>
                <c:pt idx="78">
                  <c:v>4214.4232775480796</c:v>
                </c:pt>
                <c:pt idx="79">
                  <c:v>4076.6741498323399</c:v>
                </c:pt>
                <c:pt idx="80">
                  <c:v>3787.6026495973201</c:v>
                </c:pt>
                <c:pt idx="81">
                  <c:v>3650.3435872107498</c:v>
                </c:pt>
                <c:pt idx="82">
                  <c:v>3577.3422254941702</c:v>
                </c:pt>
                <c:pt idx="83">
                  <c:v>3497.2399935806402</c:v>
                </c:pt>
                <c:pt idx="84">
                  <c:v>3147.2182688740099</c:v>
                </c:pt>
                <c:pt idx="85">
                  <c:v>3101.7606703750698</c:v>
                </c:pt>
                <c:pt idx="86">
                  <c:v>3003.62743287885</c:v>
                </c:pt>
                <c:pt idx="87">
                  <c:v>2971.9750755248401</c:v>
                </c:pt>
                <c:pt idx="88">
                  <c:v>3127.3841609711399</c:v>
                </c:pt>
                <c:pt idx="89">
                  <c:v>3180.9563566921402</c:v>
                </c:pt>
                <c:pt idx="90">
                  <c:v>3104.03238828245</c:v>
                </c:pt>
                <c:pt idx="91">
                  <c:v>3036.3242130386402</c:v>
                </c:pt>
                <c:pt idx="92">
                  <c:v>2924.8795203722698</c:v>
                </c:pt>
                <c:pt idx="93">
                  <c:v>2896.38121932066</c:v>
                </c:pt>
                <c:pt idx="94">
                  <c:v>2891.1240962602401</c:v>
                </c:pt>
                <c:pt idx="95">
                  <c:v>2879.7357612688402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Multi_Period!$U$3:$U$4</c:f>
              <c:strCache>
                <c:ptCount val="1"/>
                <c:pt idx="0">
                  <c:v>Sum of SVM</c:v>
                </c:pt>
              </c:strCache>
            </c:strRef>
          </c:tx>
          <c:marker>
            <c:symbol val="none"/>
          </c:marker>
          <c:cat>
            <c:strRef>
              <c:f>Multi_Period!$O$5:$O$100</c:f>
              <c:strCache>
                <c:ptCount val="96"/>
                <c:pt idx="0">
                  <c:v>0000-0015</c:v>
                </c:pt>
                <c:pt idx="1">
                  <c:v>0015-0030</c:v>
                </c:pt>
                <c:pt idx="2">
                  <c:v>0030-0045</c:v>
                </c:pt>
                <c:pt idx="3">
                  <c:v>0045-0100</c:v>
                </c:pt>
                <c:pt idx="4">
                  <c:v>0100-0115</c:v>
                </c:pt>
                <c:pt idx="5">
                  <c:v>0115-0130</c:v>
                </c:pt>
                <c:pt idx="6">
                  <c:v>0130-0145</c:v>
                </c:pt>
                <c:pt idx="7">
                  <c:v>0145-0200</c:v>
                </c:pt>
                <c:pt idx="8">
                  <c:v>0200-0215</c:v>
                </c:pt>
                <c:pt idx="9">
                  <c:v>0215-0230</c:v>
                </c:pt>
                <c:pt idx="10">
                  <c:v>0230-0245</c:v>
                </c:pt>
                <c:pt idx="11">
                  <c:v>0245-0300</c:v>
                </c:pt>
                <c:pt idx="12">
                  <c:v>0300-0315</c:v>
                </c:pt>
                <c:pt idx="13">
                  <c:v>0315-0330</c:v>
                </c:pt>
                <c:pt idx="14">
                  <c:v>0330-0345</c:v>
                </c:pt>
                <c:pt idx="15">
                  <c:v>0345-0400</c:v>
                </c:pt>
                <c:pt idx="16">
                  <c:v>0400-0415</c:v>
                </c:pt>
                <c:pt idx="17">
                  <c:v>0415-0430</c:v>
                </c:pt>
                <c:pt idx="18">
                  <c:v>0430-0445</c:v>
                </c:pt>
                <c:pt idx="19">
                  <c:v>0445-0500</c:v>
                </c:pt>
                <c:pt idx="20">
                  <c:v>0500-0515</c:v>
                </c:pt>
                <c:pt idx="21">
                  <c:v>0515-0530</c:v>
                </c:pt>
                <c:pt idx="22">
                  <c:v>0530-0545</c:v>
                </c:pt>
                <c:pt idx="23">
                  <c:v>0545-0600</c:v>
                </c:pt>
                <c:pt idx="24">
                  <c:v>0600-0615</c:v>
                </c:pt>
                <c:pt idx="25">
                  <c:v>0615-0630</c:v>
                </c:pt>
                <c:pt idx="26">
                  <c:v>0630-0645</c:v>
                </c:pt>
                <c:pt idx="27">
                  <c:v>0645-0700</c:v>
                </c:pt>
                <c:pt idx="28">
                  <c:v>0700-0715</c:v>
                </c:pt>
                <c:pt idx="29">
                  <c:v>0715-0730</c:v>
                </c:pt>
                <c:pt idx="30">
                  <c:v>0730-0745</c:v>
                </c:pt>
                <c:pt idx="31">
                  <c:v>0745-0800</c:v>
                </c:pt>
                <c:pt idx="32">
                  <c:v>0800-0815</c:v>
                </c:pt>
                <c:pt idx="33">
                  <c:v>0815-0830</c:v>
                </c:pt>
                <c:pt idx="34">
                  <c:v>0830-0845</c:v>
                </c:pt>
                <c:pt idx="35">
                  <c:v>0845-0900</c:v>
                </c:pt>
                <c:pt idx="36">
                  <c:v>0900-0915</c:v>
                </c:pt>
                <c:pt idx="37">
                  <c:v>0915-0930</c:v>
                </c:pt>
                <c:pt idx="38">
                  <c:v>0930-0945</c:v>
                </c:pt>
                <c:pt idx="39">
                  <c:v>0945-1000</c:v>
                </c:pt>
                <c:pt idx="40">
                  <c:v>1000-1015</c:v>
                </c:pt>
                <c:pt idx="41">
                  <c:v>1015-1030</c:v>
                </c:pt>
                <c:pt idx="42">
                  <c:v>1030-1045</c:v>
                </c:pt>
                <c:pt idx="43">
                  <c:v>1045-1100</c:v>
                </c:pt>
                <c:pt idx="44">
                  <c:v>1100-1115</c:v>
                </c:pt>
                <c:pt idx="45">
                  <c:v>1115-1130</c:v>
                </c:pt>
                <c:pt idx="46">
                  <c:v>1130-1145</c:v>
                </c:pt>
                <c:pt idx="47">
                  <c:v>1145-1200</c:v>
                </c:pt>
                <c:pt idx="48">
                  <c:v>1200-1215</c:v>
                </c:pt>
                <c:pt idx="49">
                  <c:v>1215-1230</c:v>
                </c:pt>
                <c:pt idx="50">
                  <c:v>1230-1245</c:v>
                </c:pt>
                <c:pt idx="51">
                  <c:v>1245-1300</c:v>
                </c:pt>
                <c:pt idx="52">
                  <c:v>1300-1315</c:v>
                </c:pt>
                <c:pt idx="53">
                  <c:v>1315-1330</c:v>
                </c:pt>
                <c:pt idx="54">
                  <c:v>1330-1345</c:v>
                </c:pt>
                <c:pt idx="55">
                  <c:v>1345-1400</c:v>
                </c:pt>
                <c:pt idx="56">
                  <c:v>1400-1415</c:v>
                </c:pt>
                <c:pt idx="57">
                  <c:v>1415-1430</c:v>
                </c:pt>
                <c:pt idx="58">
                  <c:v>1430-1445</c:v>
                </c:pt>
                <c:pt idx="59">
                  <c:v>1445-1500</c:v>
                </c:pt>
                <c:pt idx="60">
                  <c:v>1500-1515</c:v>
                </c:pt>
                <c:pt idx="61">
                  <c:v>1515-1530</c:v>
                </c:pt>
                <c:pt idx="62">
                  <c:v>1530-1545</c:v>
                </c:pt>
                <c:pt idx="63">
                  <c:v>1545-1600</c:v>
                </c:pt>
                <c:pt idx="64">
                  <c:v>1600-1615</c:v>
                </c:pt>
                <c:pt idx="65">
                  <c:v>1615-1630</c:v>
                </c:pt>
                <c:pt idx="66">
                  <c:v>1630-1645</c:v>
                </c:pt>
                <c:pt idx="67">
                  <c:v>1645-1700</c:v>
                </c:pt>
                <c:pt idx="68">
                  <c:v>1700-1715</c:v>
                </c:pt>
                <c:pt idx="69">
                  <c:v>1715-1730</c:v>
                </c:pt>
                <c:pt idx="70">
                  <c:v>1730-1745</c:v>
                </c:pt>
                <c:pt idx="71">
                  <c:v>1745-1800</c:v>
                </c:pt>
                <c:pt idx="72">
                  <c:v>1800-1815</c:v>
                </c:pt>
                <c:pt idx="73">
                  <c:v>1815-1830</c:v>
                </c:pt>
                <c:pt idx="74">
                  <c:v>1830-1845</c:v>
                </c:pt>
                <c:pt idx="75">
                  <c:v>1845-1900</c:v>
                </c:pt>
                <c:pt idx="76">
                  <c:v>1900-1915</c:v>
                </c:pt>
                <c:pt idx="77">
                  <c:v>1915-1930</c:v>
                </c:pt>
                <c:pt idx="78">
                  <c:v>1930-1945</c:v>
                </c:pt>
                <c:pt idx="79">
                  <c:v>1945-2000</c:v>
                </c:pt>
                <c:pt idx="80">
                  <c:v>2000-2015</c:v>
                </c:pt>
                <c:pt idx="81">
                  <c:v>2015-2030</c:v>
                </c:pt>
                <c:pt idx="82">
                  <c:v>2030-2045</c:v>
                </c:pt>
                <c:pt idx="83">
                  <c:v>2045-2100</c:v>
                </c:pt>
                <c:pt idx="84">
                  <c:v>2100-2115</c:v>
                </c:pt>
                <c:pt idx="85">
                  <c:v>2115-2130</c:v>
                </c:pt>
                <c:pt idx="86">
                  <c:v>2130-2145</c:v>
                </c:pt>
                <c:pt idx="87">
                  <c:v>2145-2200</c:v>
                </c:pt>
                <c:pt idx="88">
                  <c:v>2200-2215</c:v>
                </c:pt>
                <c:pt idx="89">
                  <c:v>2215-2230</c:v>
                </c:pt>
                <c:pt idx="90">
                  <c:v>2230-2245</c:v>
                </c:pt>
                <c:pt idx="91">
                  <c:v>2245-2300</c:v>
                </c:pt>
                <c:pt idx="92">
                  <c:v>2300-2315</c:v>
                </c:pt>
                <c:pt idx="93">
                  <c:v>2315-2330</c:v>
                </c:pt>
                <c:pt idx="94">
                  <c:v>2330-2345</c:v>
                </c:pt>
                <c:pt idx="95">
                  <c:v>2345-2400</c:v>
                </c:pt>
              </c:strCache>
            </c:strRef>
          </c:cat>
          <c:val>
            <c:numRef>
              <c:f>Multi_Period!$U$5:$U$100</c:f>
              <c:numCache>
                <c:formatCode>General</c:formatCode>
                <c:ptCount val="96"/>
                <c:pt idx="0">
                  <c:v>3009.7945426596998</c:v>
                </c:pt>
                <c:pt idx="1">
                  <c:v>2878.7752293233002</c:v>
                </c:pt>
                <c:pt idx="2">
                  <c:v>2835.8211600863501</c:v>
                </c:pt>
                <c:pt idx="3">
                  <c:v>2831.25111220284</c:v>
                </c:pt>
                <c:pt idx="4">
                  <c:v>2855.8241496475098</c:v>
                </c:pt>
                <c:pt idx="5">
                  <c:v>2885.4589207527501</c:v>
                </c:pt>
                <c:pt idx="6">
                  <c:v>2880.2321858799301</c:v>
                </c:pt>
                <c:pt idx="7">
                  <c:v>2870.2413461229498</c:v>
                </c:pt>
                <c:pt idx="8">
                  <c:v>2861.6939699598802</c:v>
                </c:pt>
                <c:pt idx="9">
                  <c:v>2859.6189151645599</c:v>
                </c:pt>
                <c:pt idx="10">
                  <c:v>2883.34130622764</c:v>
                </c:pt>
                <c:pt idx="11">
                  <c:v>2866.2845851071202</c:v>
                </c:pt>
                <c:pt idx="12">
                  <c:v>2866.3735275143699</c:v>
                </c:pt>
                <c:pt idx="13">
                  <c:v>2851.2978209269399</c:v>
                </c:pt>
                <c:pt idx="14">
                  <c:v>2901.75125072432</c:v>
                </c:pt>
                <c:pt idx="15">
                  <c:v>2957.8286968176799</c:v>
                </c:pt>
                <c:pt idx="16">
                  <c:v>3022.366194193</c:v>
                </c:pt>
                <c:pt idx="17">
                  <c:v>3047.6630403928798</c:v>
                </c:pt>
                <c:pt idx="18">
                  <c:v>3065.6267333514202</c:v>
                </c:pt>
                <c:pt idx="19">
                  <c:v>3159.9008746995501</c:v>
                </c:pt>
                <c:pt idx="20">
                  <c:v>3288.71375359082</c:v>
                </c:pt>
                <c:pt idx="21">
                  <c:v>3298.0192608508</c:v>
                </c:pt>
                <c:pt idx="22">
                  <c:v>3358.27779947402</c:v>
                </c:pt>
                <c:pt idx="23">
                  <c:v>3595.3158243800999</c:v>
                </c:pt>
                <c:pt idx="24">
                  <c:v>3902.6666951826001</c:v>
                </c:pt>
                <c:pt idx="25">
                  <c:v>4380.12187356705</c:v>
                </c:pt>
                <c:pt idx="26">
                  <c:v>4498.6288223053898</c:v>
                </c:pt>
                <c:pt idx="27">
                  <c:v>4542.73361514319</c:v>
                </c:pt>
                <c:pt idx="28">
                  <c:v>4714.7635635407096</c:v>
                </c:pt>
                <c:pt idx="29">
                  <c:v>4761.1953923867504</c:v>
                </c:pt>
                <c:pt idx="30">
                  <c:v>4694.2285065999504</c:v>
                </c:pt>
                <c:pt idx="31">
                  <c:v>4647.3676174029897</c:v>
                </c:pt>
                <c:pt idx="32">
                  <c:v>4685.53758415019</c:v>
                </c:pt>
                <c:pt idx="33">
                  <c:v>4697.8847069982503</c:v>
                </c:pt>
                <c:pt idx="34">
                  <c:v>4700.2591193131602</c:v>
                </c:pt>
                <c:pt idx="35">
                  <c:v>4649.5425282440601</c:v>
                </c:pt>
                <c:pt idx="36">
                  <c:v>4595.3728597846202</c:v>
                </c:pt>
                <c:pt idx="37">
                  <c:v>4620.5760747915501</c:v>
                </c:pt>
                <c:pt idx="38">
                  <c:v>4500.7837193109799</c:v>
                </c:pt>
                <c:pt idx="39">
                  <c:v>4390.9747035464397</c:v>
                </c:pt>
                <c:pt idx="40">
                  <c:v>4266.8574453982001</c:v>
                </c:pt>
                <c:pt idx="41">
                  <c:v>4254.5660221990202</c:v>
                </c:pt>
                <c:pt idx="42">
                  <c:v>4280.7973099067103</c:v>
                </c:pt>
                <c:pt idx="43">
                  <c:v>4286.69363127837</c:v>
                </c:pt>
                <c:pt idx="44">
                  <c:v>4119.7166673009797</c:v>
                </c:pt>
                <c:pt idx="45">
                  <c:v>4127.1923689901696</c:v>
                </c:pt>
                <c:pt idx="46">
                  <c:v>4109.0406178206904</c:v>
                </c:pt>
                <c:pt idx="47">
                  <c:v>4011.8474495567102</c:v>
                </c:pt>
                <c:pt idx="48">
                  <c:v>3903.3693145832899</c:v>
                </c:pt>
                <c:pt idx="49">
                  <c:v>3760.3919412258401</c:v>
                </c:pt>
                <c:pt idx="50">
                  <c:v>3771.6690899699001</c:v>
                </c:pt>
                <c:pt idx="51">
                  <c:v>3793.78440996376</c:v>
                </c:pt>
                <c:pt idx="52">
                  <c:v>3747.6273584251398</c:v>
                </c:pt>
                <c:pt idx="53">
                  <c:v>3857.5686604371599</c:v>
                </c:pt>
                <c:pt idx="54">
                  <c:v>3902.5754644932199</c:v>
                </c:pt>
                <c:pt idx="55">
                  <c:v>3917.0521452500702</c:v>
                </c:pt>
                <c:pt idx="56">
                  <c:v>3917.93868435269</c:v>
                </c:pt>
                <c:pt idx="57">
                  <c:v>3983.1569358994702</c:v>
                </c:pt>
                <c:pt idx="58">
                  <c:v>3935.1427166926701</c:v>
                </c:pt>
                <c:pt idx="59">
                  <c:v>3999.5483259067601</c:v>
                </c:pt>
                <c:pt idx="60">
                  <c:v>4040.1184831984201</c:v>
                </c:pt>
                <c:pt idx="61">
                  <c:v>4075.7062490322201</c:v>
                </c:pt>
                <c:pt idx="62">
                  <c:v>4061.8514877652301</c:v>
                </c:pt>
                <c:pt idx="63">
                  <c:v>4007.9451024345899</c:v>
                </c:pt>
                <c:pt idx="64">
                  <c:v>4075.5433381338898</c:v>
                </c:pt>
                <c:pt idx="65">
                  <c:v>4113.2206647010698</c:v>
                </c:pt>
                <c:pt idx="66">
                  <c:v>4097.8165147484997</c:v>
                </c:pt>
                <c:pt idx="67">
                  <c:v>4109.7385618171402</c:v>
                </c:pt>
                <c:pt idx="68">
                  <c:v>4105.1872441339701</c:v>
                </c:pt>
                <c:pt idx="69">
                  <c:v>4194.7722368231198</c:v>
                </c:pt>
                <c:pt idx="70">
                  <c:v>4314.0060262054903</c:v>
                </c:pt>
                <c:pt idx="71">
                  <c:v>4311.5253478680997</c:v>
                </c:pt>
                <c:pt idx="72">
                  <c:v>4051.4365853704498</c:v>
                </c:pt>
                <c:pt idx="73">
                  <c:v>4376.0562089894502</c:v>
                </c:pt>
                <c:pt idx="74">
                  <c:v>4428.3330830643499</c:v>
                </c:pt>
                <c:pt idx="75">
                  <c:v>4319.6593103410196</c:v>
                </c:pt>
                <c:pt idx="76">
                  <c:v>4159.9087382356602</c:v>
                </c:pt>
                <c:pt idx="77">
                  <c:v>4363.7131871618703</c:v>
                </c:pt>
                <c:pt idx="78">
                  <c:v>4315.6559473384305</c:v>
                </c:pt>
                <c:pt idx="79">
                  <c:v>4186.7935894679204</c:v>
                </c:pt>
                <c:pt idx="80">
                  <c:v>3856.9244582500801</c:v>
                </c:pt>
                <c:pt idx="81">
                  <c:v>3759.7994556148001</c:v>
                </c:pt>
                <c:pt idx="82">
                  <c:v>3748.5693115897202</c:v>
                </c:pt>
                <c:pt idx="83">
                  <c:v>3600.51583699209</c:v>
                </c:pt>
                <c:pt idx="84">
                  <c:v>3392.6757681005101</c:v>
                </c:pt>
                <c:pt idx="85">
                  <c:v>3242.7900241234402</c:v>
                </c:pt>
                <c:pt idx="86">
                  <c:v>3243.4008061081199</c:v>
                </c:pt>
                <c:pt idx="87">
                  <c:v>3154.15695418206</c:v>
                </c:pt>
                <c:pt idx="88">
                  <c:v>3156.5749740516699</c:v>
                </c:pt>
                <c:pt idx="89">
                  <c:v>3297.8836842045498</c:v>
                </c:pt>
                <c:pt idx="90">
                  <c:v>3333.4398059199898</c:v>
                </c:pt>
                <c:pt idx="91">
                  <c:v>3150.2941175137698</c:v>
                </c:pt>
                <c:pt idx="92">
                  <c:v>2999.3472369690298</c:v>
                </c:pt>
                <c:pt idx="93">
                  <c:v>2967.49533526908</c:v>
                </c:pt>
                <c:pt idx="94">
                  <c:v>2988.2022216860901</c:v>
                </c:pt>
                <c:pt idx="95">
                  <c:v>2997.0532768688399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6365224"/>
        <c:axId val="236365616"/>
      </c:lineChart>
      <c:catAx>
        <c:axId val="236365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36365616"/>
        <c:crosses val="autoZero"/>
        <c:auto val="1"/>
        <c:lblAlgn val="ctr"/>
        <c:lblOffset val="100"/>
        <c:noMultiLvlLbl val="0"/>
      </c:catAx>
      <c:valAx>
        <c:axId val="236365616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Load in MW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363652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6.9944444444444503E-2"/>
          <c:y val="0.87961358996791528"/>
          <c:w val="0.8601111111111116"/>
          <c:h val="9.2608632254301493E-2"/>
        </c:manualLayout>
      </c:layout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Sheet3!A1"/><Relationship Id="rId1" Type="http://schemas.openxmlformats.org/officeDocument/2006/relationships/hyperlink" Target="#Sheet2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heet2!DE1"/><Relationship Id="rId2" Type="http://schemas.openxmlformats.org/officeDocument/2006/relationships/hyperlink" Target="#Sheet3!A1"/><Relationship Id="rId1" Type="http://schemas.openxmlformats.org/officeDocument/2006/relationships/chart" Target="../charts/chart1.xml"/><Relationship Id="rId4" Type="http://schemas.openxmlformats.org/officeDocument/2006/relationships/hyperlink" Target="#Sheet2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heet2!DE1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ulti_Period!A1"/><Relationship Id="rId2" Type="http://schemas.openxmlformats.org/officeDocument/2006/relationships/hyperlink" Target="#Multi_Period!AD1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8.emf"/><Relationship Id="rId18" Type="http://schemas.openxmlformats.org/officeDocument/2006/relationships/image" Target="../media/image4.emf"/><Relationship Id="rId3" Type="http://schemas.openxmlformats.org/officeDocument/2006/relationships/image" Target="../media/image11.emf"/><Relationship Id="rId21" Type="http://schemas.openxmlformats.org/officeDocument/2006/relationships/image" Target="../media/image1.emf"/><Relationship Id="rId7" Type="http://schemas.openxmlformats.org/officeDocument/2006/relationships/image" Target="../media/image7.emf"/><Relationship Id="rId12" Type="http://schemas.openxmlformats.org/officeDocument/2006/relationships/image" Target="../media/image17.emf"/><Relationship Id="rId17" Type="http://schemas.openxmlformats.org/officeDocument/2006/relationships/image" Target="../media/image21.emf"/><Relationship Id="rId2" Type="http://schemas.openxmlformats.org/officeDocument/2006/relationships/image" Target="../media/image9.emf"/><Relationship Id="rId16" Type="http://schemas.openxmlformats.org/officeDocument/2006/relationships/image" Target="../media/image5.emf"/><Relationship Id="rId20" Type="http://schemas.openxmlformats.org/officeDocument/2006/relationships/image" Target="../media/image2.emf"/><Relationship Id="rId1" Type="http://schemas.openxmlformats.org/officeDocument/2006/relationships/image" Target="../media/image10.emf"/><Relationship Id="rId6" Type="http://schemas.openxmlformats.org/officeDocument/2006/relationships/image" Target="../media/image8.emf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20.emf"/><Relationship Id="rId10" Type="http://schemas.openxmlformats.org/officeDocument/2006/relationships/image" Target="../media/image15.emf"/><Relationship Id="rId19" Type="http://schemas.openxmlformats.org/officeDocument/2006/relationships/image" Target="../media/image3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14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4</xdr:row>
      <xdr:rowOff>180974</xdr:rowOff>
    </xdr:from>
    <xdr:to>
      <xdr:col>2</xdr:col>
      <xdr:colOff>276225</xdr:colOff>
      <xdr:row>18</xdr:row>
      <xdr:rowOff>95249</xdr:rowOff>
    </xdr:to>
    <xdr:sp macro="" textlink="">
      <xdr:nvSpPr>
        <xdr:cNvPr id="2" name="Rounded Rectangle 1"/>
        <xdr:cNvSpPr/>
      </xdr:nvSpPr>
      <xdr:spPr>
        <a:xfrm>
          <a:off x="371475" y="952499"/>
          <a:ext cx="2009775" cy="258127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Automatic Run</a:t>
          </a:r>
          <a:r>
            <a:rPr lang="en-US" sz="1100" b="1" u="sng" baseline="0">
              <a:solidFill>
                <a:schemeClr val="accent2">
                  <a:lumMod val="50000"/>
                </a:schemeClr>
              </a:solidFill>
            </a:rPr>
            <a:t> at Night</a:t>
          </a:r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76200</xdr:colOff>
      <xdr:row>5</xdr:row>
      <xdr:rowOff>9525</xdr:rowOff>
    </xdr:from>
    <xdr:to>
      <xdr:col>7</xdr:col>
      <xdr:colOff>161925</xdr:colOff>
      <xdr:row>18</xdr:row>
      <xdr:rowOff>104775</xdr:rowOff>
    </xdr:to>
    <xdr:sp macro="" textlink="">
      <xdr:nvSpPr>
        <xdr:cNvPr id="4" name="Rounded Rectangle 3"/>
        <xdr:cNvSpPr/>
      </xdr:nvSpPr>
      <xdr:spPr>
        <a:xfrm>
          <a:off x="3505200" y="971550"/>
          <a:ext cx="1924050" cy="25717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Other Input Files Download</a:t>
          </a: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STEP 1 </a:t>
          </a:r>
          <a:r>
            <a:rPr lang="en-US" sz="700" b="1" u="sng">
              <a:solidFill>
                <a:schemeClr val="accent2">
                  <a:lumMod val="50000"/>
                </a:schemeClr>
              </a:solidFill>
            </a:rPr>
            <a:t>(Automated,</a:t>
          </a:r>
          <a:r>
            <a:rPr lang="en-US" sz="700" b="1" u="sng" baseline="0">
              <a:solidFill>
                <a:schemeClr val="accent2">
                  <a:lumMod val="50000"/>
                </a:schemeClr>
              </a:solidFill>
            </a:rPr>
            <a:t> Run only in EMERGENCY Cases</a:t>
          </a:r>
          <a:r>
            <a:rPr lang="en-US" sz="900" b="1" u="sng">
              <a:solidFill>
                <a:schemeClr val="accent2">
                  <a:lumMod val="50000"/>
                </a:schemeClr>
              </a:solidFill>
            </a:rPr>
            <a:t>)</a:t>
          </a: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STEP 2</a:t>
          </a: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9525</xdr:colOff>
      <xdr:row>5</xdr:row>
      <xdr:rowOff>9525</xdr:rowOff>
    </xdr:from>
    <xdr:to>
      <xdr:col>11</xdr:col>
      <xdr:colOff>190500</xdr:colOff>
      <xdr:row>11</xdr:row>
      <xdr:rowOff>19050</xdr:rowOff>
    </xdr:to>
    <xdr:sp macro="" textlink="">
      <xdr:nvSpPr>
        <xdr:cNvPr id="6" name="Rounded Rectangle 5"/>
        <xdr:cNvSpPr/>
      </xdr:nvSpPr>
      <xdr:spPr>
        <a:xfrm>
          <a:off x="5886450" y="971550"/>
          <a:ext cx="2009775" cy="11525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Running Univariate Models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STEP3</a:t>
          </a:r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342900</xdr:colOff>
      <xdr:row>20</xdr:row>
      <xdr:rowOff>9525</xdr:rowOff>
    </xdr:from>
    <xdr:to>
      <xdr:col>6</xdr:col>
      <xdr:colOff>600075</xdr:colOff>
      <xdr:row>36</xdr:row>
      <xdr:rowOff>47625</xdr:rowOff>
    </xdr:to>
    <xdr:sp macro="" textlink="">
      <xdr:nvSpPr>
        <xdr:cNvPr id="7" name="Rounded Rectangle 6"/>
        <xdr:cNvSpPr/>
      </xdr:nvSpPr>
      <xdr:spPr>
        <a:xfrm>
          <a:off x="342900" y="3829050"/>
          <a:ext cx="4905375" cy="30861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Running Multivariate</a:t>
          </a:r>
          <a:r>
            <a:rPr lang="en-US" sz="1100" b="1" u="sng" baseline="0">
              <a:solidFill>
                <a:schemeClr val="accent2">
                  <a:lumMod val="50000"/>
                </a:schemeClr>
              </a:solidFill>
            </a:rPr>
            <a:t> Models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accent2">
                  <a:lumMod val="50000"/>
                </a:schemeClr>
              </a:solidFill>
            </a:rPr>
            <a:t>       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accent2">
                  <a:lumMod val="50000"/>
                </a:schemeClr>
              </a:solidFill>
            </a:rPr>
            <a:t>         </a:t>
          </a:r>
          <a:r>
            <a:rPr lang="en-US" sz="1100" b="1" u="sng" baseline="0">
              <a:solidFill>
                <a:schemeClr val="accent2">
                  <a:lumMod val="50000"/>
                </a:schemeClr>
              </a:solidFill>
            </a:rPr>
            <a:t>Accu Weather Models </a:t>
          </a:r>
          <a:r>
            <a:rPr lang="en-US" sz="1100" b="1" u="none" baseline="0">
              <a:solidFill>
                <a:schemeClr val="accent2">
                  <a:lumMod val="50000"/>
                </a:schemeClr>
              </a:solidFill>
            </a:rPr>
            <a:t>                         </a:t>
          </a:r>
          <a:r>
            <a:rPr lang="en-US" sz="1100" b="1" u="sng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Weather  Underground Models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sng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1.                                                                    5.            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none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none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none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2.                                                                    6.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none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none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3.</a:t>
          </a:r>
          <a:r>
            <a:rPr lang="en-US" sz="1100" b="1" u="none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                                                                   7.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                                                             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u="none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4.                                                                    8.</a:t>
          </a:r>
          <a:endParaRPr lang="en-US" sz="1100" b="1" u="none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  <a:p>
          <a:pPr algn="l"/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238126</xdr:colOff>
      <xdr:row>24</xdr:row>
      <xdr:rowOff>57150</xdr:rowOff>
    </xdr:from>
    <xdr:to>
      <xdr:col>10</xdr:col>
      <xdr:colOff>247650</xdr:colOff>
      <xdr:row>26</xdr:row>
      <xdr:rowOff>161925</xdr:rowOff>
    </xdr:to>
    <xdr:sp macro="" textlink="">
      <xdr:nvSpPr>
        <xdr:cNvPr id="8" name="Right Arrow 7">
          <a:hlinkClick xmlns:r="http://schemas.openxmlformats.org/officeDocument/2006/relationships" r:id="rId1"/>
        </xdr:cNvPr>
        <xdr:cNvSpPr/>
      </xdr:nvSpPr>
      <xdr:spPr>
        <a:xfrm>
          <a:off x="5505451" y="4638675"/>
          <a:ext cx="1838324" cy="485775"/>
        </a:xfrm>
        <a:prstGeom prst="rightArrow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Outputs (Click Here)</a:t>
          </a:r>
        </a:p>
      </xdr:txBody>
    </xdr:sp>
    <xdr:clientData/>
  </xdr:twoCellAnchor>
  <xdr:twoCellAnchor>
    <xdr:from>
      <xdr:col>7</xdr:col>
      <xdr:colOff>200025</xdr:colOff>
      <xdr:row>20</xdr:row>
      <xdr:rowOff>142876</xdr:rowOff>
    </xdr:from>
    <xdr:to>
      <xdr:col>10</xdr:col>
      <xdr:colOff>302202</xdr:colOff>
      <xdr:row>23</xdr:row>
      <xdr:rowOff>142876</xdr:rowOff>
    </xdr:to>
    <xdr:sp macro="" textlink="">
      <xdr:nvSpPr>
        <xdr:cNvPr id="9" name="Right Arrow 8">
          <a:hlinkClick xmlns:r="http://schemas.openxmlformats.org/officeDocument/2006/relationships" r:id="rId2"/>
        </xdr:cNvPr>
        <xdr:cNvSpPr/>
      </xdr:nvSpPr>
      <xdr:spPr>
        <a:xfrm>
          <a:off x="5467350" y="3962401"/>
          <a:ext cx="1930977" cy="571500"/>
        </a:xfrm>
        <a:prstGeom prst="rightArrow">
          <a:avLst/>
        </a:prstGeom>
        <a:solidFill>
          <a:schemeClr val="tx2">
            <a:lumMod val="20000"/>
            <a:lumOff val="80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>
              <a:solidFill>
                <a:srgbClr val="C00000"/>
              </a:solidFill>
            </a:rPr>
            <a:t>Weather Data Comparison </a:t>
          </a:r>
          <a:r>
            <a:rPr lang="en-US" sz="700" b="1">
              <a:solidFill>
                <a:srgbClr val="C00000"/>
              </a:solidFill>
            </a:rPr>
            <a:t>(Click Here)</a:t>
          </a:r>
        </a:p>
      </xdr:txBody>
    </xdr:sp>
    <xdr:clientData/>
  </xdr:twoCellAnchor>
  <xdr:twoCellAnchor>
    <xdr:from>
      <xdr:col>12</xdr:col>
      <xdr:colOff>266700</xdr:colOff>
      <xdr:row>5</xdr:row>
      <xdr:rowOff>19050</xdr:rowOff>
    </xdr:from>
    <xdr:to>
      <xdr:col>17</xdr:col>
      <xdr:colOff>123825</xdr:colOff>
      <xdr:row>12</xdr:row>
      <xdr:rowOff>95250</xdr:rowOff>
    </xdr:to>
    <xdr:sp macro="" textlink="">
      <xdr:nvSpPr>
        <xdr:cNvPr id="10" name="Rounded Rectangle 9"/>
        <xdr:cNvSpPr/>
      </xdr:nvSpPr>
      <xdr:spPr>
        <a:xfrm>
          <a:off x="8582025" y="981075"/>
          <a:ext cx="2905125" cy="1409700"/>
        </a:xfrm>
        <a:prstGeom prst="round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900" b="1" u="sng">
              <a:solidFill>
                <a:schemeClr val="bg1"/>
              </a:solidFill>
            </a:rPr>
            <a:t>Manual Weather Download (Automated, Run only in EMERGENCY CASES)</a:t>
          </a:r>
        </a:p>
        <a:p>
          <a:pPr algn="ctr"/>
          <a:endParaRPr lang="en-US" sz="9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361950</xdr:colOff>
      <xdr:row>13</xdr:row>
      <xdr:rowOff>190499</xdr:rowOff>
    </xdr:from>
    <xdr:to>
      <xdr:col>17</xdr:col>
      <xdr:colOff>114300</xdr:colOff>
      <xdr:row>21</xdr:row>
      <xdr:rowOff>142874</xdr:rowOff>
    </xdr:to>
    <xdr:sp macro="" textlink="">
      <xdr:nvSpPr>
        <xdr:cNvPr id="11" name="Rounded Rectangle 10"/>
        <xdr:cNvSpPr/>
      </xdr:nvSpPr>
      <xdr:spPr>
        <a:xfrm>
          <a:off x="8677275" y="2676524"/>
          <a:ext cx="2800350" cy="14763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/>
            <a:t>Multi Period Ahead Load Forecasts </a:t>
          </a:r>
        </a:p>
        <a:p>
          <a:pPr algn="ctr"/>
          <a:r>
            <a:rPr lang="en-US" sz="1100" b="1"/>
            <a:t> (Click Here)</a:t>
          </a:r>
        </a:p>
      </xdr:txBody>
    </xdr:sp>
    <xdr:clientData/>
  </xdr:twoCellAnchor>
  <xdr:twoCellAnchor>
    <xdr:from>
      <xdr:col>2</xdr:col>
      <xdr:colOff>342899</xdr:colOff>
      <xdr:row>14</xdr:row>
      <xdr:rowOff>0</xdr:rowOff>
    </xdr:from>
    <xdr:to>
      <xdr:col>3</xdr:col>
      <xdr:colOff>552449</xdr:colOff>
      <xdr:row>19</xdr:row>
      <xdr:rowOff>0</xdr:rowOff>
    </xdr:to>
    <xdr:sp macro="" textlink="">
      <xdr:nvSpPr>
        <xdr:cNvPr id="14" name="TextBox 13"/>
        <xdr:cNvSpPr txBox="1"/>
      </xdr:nvSpPr>
      <xdr:spPr>
        <a:xfrm>
          <a:off x="2447924" y="2676525"/>
          <a:ext cx="923925" cy="952500"/>
        </a:xfrm>
        <a:prstGeom prst="wedgeRectCallout">
          <a:avLst>
            <a:gd name="adj1" fmla="val -84751"/>
            <a:gd name="adj2" fmla="val -8500"/>
          </a:avLst>
        </a:prstGeom>
        <a:solidFill>
          <a:schemeClr val="lt1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900"/>
            <a:t>Skip this, if Automated Process failed last night, directly go to STEP1</a:t>
          </a:r>
        </a:p>
      </xdr:txBody>
    </xdr:sp>
    <xdr:clientData/>
  </xdr:twoCellAnchor>
  <xdr:twoCellAnchor>
    <xdr:from>
      <xdr:col>2</xdr:col>
      <xdr:colOff>342899</xdr:colOff>
      <xdr:row>6</xdr:row>
      <xdr:rowOff>123826</xdr:rowOff>
    </xdr:from>
    <xdr:to>
      <xdr:col>3</xdr:col>
      <xdr:colOff>552449</xdr:colOff>
      <xdr:row>10</xdr:row>
      <xdr:rowOff>76200</xdr:rowOff>
    </xdr:to>
    <xdr:sp macro="" textlink="">
      <xdr:nvSpPr>
        <xdr:cNvPr id="28" name="TextBox 27"/>
        <xdr:cNvSpPr txBox="1"/>
      </xdr:nvSpPr>
      <xdr:spPr>
        <a:xfrm>
          <a:off x="2447924" y="1276351"/>
          <a:ext cx="923925" cy="714374"/>
        </a:xfrm>
        <a:prstGeom prst="wedgeRectCallout">
          <a:avLst>
            <a:gd name="adj1" fmla="val -83720"/>
            <a:gd name="adj2" fmla="val -28167"/>
          </a:avLst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900"/>
            <a:t>If Automated Process failed last night, STEP1</a:t>
          </a:r>
        </a:p>
      </xdr:txBody>
    </xdr:sp>
    <xdr:clientData/>
  </xdr:twoCellAnchor>
  <xdr:twoCellAnchor>
    <xdr:from>
      <xdr:col>2</xdr:col>
      <xdr:colOff>352424</xdr:colOff>
      <xdr:row>10</xdr:row>
      <xdr:rowOff>171451</xdr:rowOff>
    </xdr:from>
    <xdr:to>
      <xdr:col>3</xdr:col>
      <xdr:colOff>561974</xdr:colOff>
      <xdr:row>12</xdr:row>
      <xdr:rowOff>38100</xdr:rowOff>
    </xdr:to>
    <xdr:sp macro="" textlink="">
      <xdr:nvSpPr>
        <xdr:cNvPr id="29" name="TextBox 28"/>
        <xdr:cNvSpPr txBox="1"/>
      </xdr:nvSpPr>
      <xdr:spPr>
        <a:xfrm>
          <a:off x="2457449" y="2085976"/>
          <a:ext cx="923925" cy="247649"/>
        </a:xfrm>
        <a:prstGeom prst="wedgeRectCallout">
          <a:avLst>
            <a:gd name="adj1" fmla="val -87844"/>
            <a:gd name="adj2" fmla="val -27090"/>
          </a:avLst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900"/>
            <a:t>STEP2</a:t>
          </a:r>
        </a:p>
      </xdr:txBody>
    </xdr:sp>
    <xdr:clientData/>
  </xdr:twoCellAnchor>
  <xdr:twoCellAnchor>
    <xdr:from>
      <xdr:col>2</xdr:col>
      <xdr:colOff>352424</xdr:colOff>
      <xdr:row>12</xdr:row>
      <xdr:rowOff>85726</xdr:rowOff>
    </xdr:from>
    <xdr:to>
      <xdr:col>3</xdr:col>
      <xdr:colOff>561974</xdr:colOff>
      <xdr:row>13</xdr:row>
      <xdr:rowOff>142875</xdr:rowOff>
    </xdr:to>
    <xdr:sp macro="" textlink="">
      <xdr:nvSpPr>
        <xdr:cNvPr id="26" name="TextBox 25"/>
        <xdr:cNvSpPr txBox="1"/>
      </xdr:nvSpPr>
      <xdr:spPr>
        <a:xfrm>
          <a:off x="2457449" y="2381251"/>
          <a:ext cx="923925" cy="247649"/>
        </a:xfrm>
        <a:prstGeom prst="wedgeRectCallout">
          <a:avLst>
            <a:gd name="adj1" fmla="val -90937"/>
            <a:gd name="adj2" fmla="val 11372"/>
          </a:avLst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900"/>
            <a:t>STEP3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7</xdr:row>
          <xdr:rowOff>142875</xdr:rowOff>
        </xdr:from>
        <xdr:to>
          <xdr:col>11</xdr:col>
          <xdr:colOff>0</xdr:colOff>
          <xdr:row>9</xdr:row>
          <xdr:rowOff>161925</xdr:rowOff>
        </xdr:to>
        <xdr:sp macro="" textlink="">
          <xdr:nvSpPr>
            <xdr:cNvPr id="1025" name="UnivariateMode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24</xdr:row>
          <xdr:rowOff>66675</xdr:rowOff>
        </xdr:from>
        <xdr:to>
          <xdr:col>2</xdr:col>
          <xdr:colOff>171450</xdr:colOff>
          <xdr:row>26</xdr:row>
          <xdr:rowOff>76200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57150</xdr:rowOff>
        </xdr:from>
        <xdr:to>
          <xdr:col>2</xdr:col>
          <xdr:colOff>19050</xdr:colOff>
          <xdr:row>9</xdr:row>
          <xdr:rowOff>66675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180975</xdr:colOff>
          <xdr:row>2</xdr:row>
          <xdr:rowOff>66675</xdr:rowOff>
        </xdr:from>
        <xdr:to>
          <xdr:col>46</xdr:col>
          <xdr:colOff>371475</xdr:colOff>
          <xdr:row>4</xdr:row>
          <xdr:rowOff>85725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2</xdr:col>
          <xdr:colOff>152400</xdr:colOff>
          <xdr:row>32</xdr:row>
          <xdr:rowOff>66675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27</xdr:row>
          <xdr:rowOff>66675</xdr:rowOff>
        </xdr:from>
        <xdr:to>
          <xdr:col>2</xdr:col>
          <xdr:colOff>171450</xdr:colOff>
          <xdr:row>29</xdr:row>
          <xdr:rowOff>95250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47625</xdr:rowOff>
        </xdr:from>
        <xdr:to>
          <xdr:col>2</xdr:col>
          <xdr:colOff>152400</xdr:colOff>
          <xdr:row>35</xdr:row>
          <xdr:rowOff>57150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1</xdr:row>
          <xdr:rowOff>152400</xdr:rowOff>
        </xdr:from>
        <xdr:to>
          <xdr:col>26</xdr:col>
          <xdr:colOff>361950</xdr:colOff>
          <xdr:row>3</xdr:row>
          <xdr:rowOff>152400</xdr:rowOff>
        </xdr:to>
        <xdr:sp macro="" textlink="">
          <xdr:nvSpPr>
            <xdr:cNvPr id="1034" name="CommandButton8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24</xdr:row>
          <xdr:rowOff>66675</xdr:rowOff>
        </xdr:from>
        <xdr:to>
          <xdr:col>5</xdr:col>
          <xdr:colOff>581025</xdr:colOff>
          <xdr:row>26</xdr:row>
          <xdr:rowOff>76200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27</xdr:row>
          <xdr:rowOff>85725</xdr:rowOff>
        </xdr:from>
        <xdr:to>
          <xdr:col>5</xdr:col>
          <xdr:colOff>590550</xdr:colOff>
          <xdr:row>29</xdr:row>
          <xdr:rowOff>95250</xdr:rowOff>
        </xdr:to>
        <xdr:sp macro="" textlink="">
          <xdr:nvSpPr>
            <xdr:cNvPr id="1037" name="CommandButton9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30</xdr:row>
          <xdr:rowOff>57150</xdr:rowOff>
        </xdr:from>
        <xdr:to>
          <xdr:col>5</xdr:col>
          <xdr:colOff>590550</xdr:colOff>
          <xdr:row>32</xdr:row>
          <xdr:rowOff>66675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33</xdr:row>
          <xdr:rowOff>47625</xdr:rowOff>
        </xdr:from>
        <xdr:to>
          <xdr:col>5</xdr:col>
          <xdr:colOff>600075</xdr:colOff>
          <xdr:row>35</xdr:row>
          <xdr:rowOff>57150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12</xdr:row>
          <xdr:rowOff>95250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57150</xdr:rowOff>
        </xdr:from>
        <xdr:to>
          <xdr:col>2</xdr:col>
          <xdr:colOff>9525</xdr:colOff>
          <xdr:row>17</xdr:row>
          <xdr:rowOff>76200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9</xdr:row>
          <xdr:rowOff>180975</xdr:rowOff>
        </xdr:from>
        <xdr:to>
          <xdr:col>1</xdr:col>
          <xdr:colOff>1485900</xdr:colOff>
          <xdr:row>12</xdr:row>
          <xdr:rowOff>0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10</xdr:row>
          <xdr:rowOff>47625</xdr:rowOff>
        </xdr:from>
        <xdr:to>
          <xdr:col>6</xdr:col>
          <xdr:colOff>504825</xdr:colOff>
          <xdr:row>12</xdr:row>
          <xdr:rowOff>57150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14</xdr:row>
          <xdr:rowOff>28575</xdr:rowOff>
        </xdr:from>
        <xdr:to>
          <xdr:col>6</xdr:col>
          <xdr:colOff>600075</xdr:colOff>
          <xdr:row>16</xdr:row>
          <xdr:rowOff>57150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85725</xdr:rowOff>
        </xdr:from>
        <xdr:to>
          <xdr:col>16</xdr:col>
          <xdr:colOff>409575</xdr:colOff>
          <xdr:row>9</xdr:row>
          <xdr:rowOff>95250</xdr:rowOff>
        </xdr:to>
        <xdr:sp macro="" textlink="">
          <xdr:nvSpPr>
            <xdr:cNvPr id="1045" name="CommandButton17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180975</xdr:rowOff>
        </xdr:from>
        <xdr:to>
          <xdr:col>16</xdr:col>
          <xdr:colOff>447675</xdr:colOff>
          <xdr:row>12</xdr:row>
          <xdr:rowOff>0</xdr:rowOff>
        </xdr:to>
        <xdr:sp macro="" textlink="">
          <xdr:nvSpPr>
            <xdr:cNvPr id="1046" name="CommandButton18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17</xdr:row>
          <xdr:rowOff>19050</xdr:rowOff>
        </xdr:from>
        <xdr:to>
          <xdr:col>16</xdr:col>
          <xdr:colOff>409575</xdr:colOff>
          <xdr:row>19</xdr:row>
          <xdr:rowOff>142875</xdr:rowOff>
        </xdr:to>
        <xdr:sp macro="" textlink="">
          <xdr:nvSpPr>
            <xdr:cNvPr id="1047" name="CommandButton19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14</xdr:row>
          <xdr:rowOff>152400</xdr:rowOff>
        </xdr:from>
        <xdr:to>
          <xdr:col>11</xdr:col>
          <xdr:colOff>190500</xdr:colOff>
          <xdr:row>17</xdr:row>
          <xdr:rowOff>57150</xdr:rowOff>
        </xdr:to>
        <xdr:sp macro="" textlink="">
          <xdr:nvSpPr>
            <xdr:cNvPr id="1050" name="CommandButton2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9525</xdr:colOff>
      <xdr:row>2</xdr:row>
      <xdr:rowOff>32038</xdr:rowOff>
    </xdr:from>
    <xdr:to>
      <xdr:col>116</xdr:col>
      <xdr:colOff>257175</xdr:colOff>
      <xdr:row>23</xdr:row>
      <xdr:rowOff>12988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147206</xdr:colOff>
      <xdr:row>5</xdr:row>
      <xdr:rowOff>103910</xdr:rowOff>
    </xdr:from>
    <xdr:to>
      <xdr:col>3</xdr:col>
      <xdr:colOff>226004</xdr:colOff>
      <xdr:row>16</xdr:row>
      <xdr:rowOff>17318</xdr:rowOff>
    </xdr:to>
    <xdr:sp macro="" textlink="">
      <xdr:nvSpPr>
        <xdr:cNvPr id="4" name="Rounded Rectangle 3"/>
        <xdr:cNvSpPr/>
      </xdr:nvSpPr>
      <xdr:spPr>
        <a:xfrm>
          <a:off x="147206" y="1056410"/>
          <a:ext cx="2009775" cy="2008908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Compiling Output</a:t>
          </a:r>
        </a:p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STEP 1 </a:t>
          </a:r>
          <a:r>
            <a:rPr lang="en-US" sz="800" b="1" u="sng">
              <a:solidFill>
                <a:schemeClr val="accent2">
                  <a:lumMod val="50000"/>
                </a:schemeClr>
              </a:solidFill>
            </a:rPr>
            <a:t>(writing all model results)</a:t>
          </a:r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:</a:t>
          </a: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STEP 2 - Optional </a:t>
          </a:r>
          <a:r>
            <a:rPr kumimoji="0" lang="en-US" sz="8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(To see Load of any Past Date)</a:t>
          </a: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:</a:t>
          </a: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161062</xdr:colOff>
      <xdr:row>17</xdr:row>
      <xdr:rowOff>31153</xdr:rowOff>
    </xdr:from>
    <xdr:to>
      <xdr:col>3</xdr:col>
      <xdr:colOff>207819</xdr:colOff>
      <xdr:row>30</xdr:row>
      <xdr:rowOff>71438</xdr:rowOff>
    </xdr:to>
    <xdr:sp macro="" textlink="">
      <xdr:nvSpPr>
        <xdr:cNvPr id="5" name="Rounded Rectangle 4"/>
        <xdr:cNvSpPr/>
      </xdr:nvSpPr>
      <xdr:spPr>
        <a:xfrm>
          <a:off x="161062" y="3269653"/>
          <a:ext cx="1975570" cy="251678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Combination Model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STEP 3 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If Combination has finished running click "Test New" else click "Test Old"</a:t>
          </a:r>
          <a:endParaRPr kumimoji="0" lang="en-US" sz="1050" b="0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900" b="1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OR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STEP 4 </a:t>
          </a:r>
          <a:r>
            <a:rPr kumimoji="0" lang="en-US" sz="7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(advance training for next day, TO BE CLICKED AT THE END OF THIS PROCESS)</a:t>
          </a: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: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1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363682</xdr:colOff>
      <xdr:row>2</xdr:row>
      <xdr:rowOff>103907</xdr:rowOff>
    </xdr:from>
    <xdr:to>
      <xdr:col>3</xdr:col>
      <xdr:colOff>363682</xdr:colOff>
      <xdr:row>5</xdr:row>
      <xdr:rowOff>86572</xdr:rowOff>
    </xdr:to>
    <xdr:sp macro="" textlink="">
      <xdr:nvSpPr>
        <xdr:cNvPr id="6" name="Right Arrow 5">
          <a:hlinkClick xmlns:r="http://schemas.openxmlformats.org/officeDocument/2006/relationships" r:id="rId2"/>
        </xdr:cNvPr>
        <xdr:cNvSpPr/>
      </xdr:nvSpPr>
      <xdr:spPr>
        <a:xfrm>
          <a:off x="363682" y="484907"/>
          <a:ext cx="1930977" cy="554165"/>
        </a:xfrm>
        <a:prstGeom prst="rightArrow">
          <a:avLst/>
        </a:prstGeom>
        <a:solidFill>
          <a:schemeClr val="tx2">
            <a:lumMod val="20000"/>
            <a:lumOff val="80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>
              <a:solidFill>
                <a:srgbClr val="C00000"/>
              </a:solidFill>
            </a:rPr>
            <a:t>Weather Data Comparison </a:t>
          </a:r>
          <a:r>
            <a:rPr lang="en-US" sz="700" b="1">
              <a:solidFill>
                <a:srgbClr val="C00000"/>
              </a:solidFill>
            </a:rPr>
            <a:t>(Click Here)</a:t>
          </a:r>
        </a:p>
      </xdr:txBody>
    </xdr:sp>
    <xdr:clientData/>
  </xdr:twoCellAnchor>
  <xdr:twoCellAnchor>
    <xdr:from>
      <xdr:col>0</xdr:col>
      <xdr:colOff>135080</xdr:colOff>
      <xdr:row>31</xdr:row>
      <xdr:rowOff>107152</xdr:rowOff>
    </xdr:from>
    <xdr:to>
      <xdr:col>3</xdr:col>
      <xdr:colOff>121226</xdr:colOff>
      <xdr:row>35</xdr:row>
      <xdr:rowOff>150449</xdr:rowOff>
    </xdr:to>
    <xdr:sp macro="" textlink="">
      <xdr:nvSpPr>
        <xdr:cNvPr id="7" name="Rounded Rectangle 6"/>
        <xdr:cNvSpPr/>
      </xdr:nvSpPr>
      <xdr:spPr>
        <a:xfrm>
          <a:off x="135080" y="6012652"/>
          <a:ext cx="1914959" cy="805297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Storing Final Forecasts</a:t>
          </a:r>
        </a:p>
        <a:p>
          <a:pPr algn="ctr"/>
          <a:r>
            <a:rPr lang="en-US" sz="1100" b="1" u="sng">
              <a:solidFill>
                <a:schemeClr val="accent2">
                  <a:lumMod val="50000"/>
                </a:schemeClr>
              </a:solidFill>
            </a:rPr>
            <a:t>STEP 6</a:t>
          </a: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  <a:p>
          <a:pPr algn="ctr"/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368877</xdr:colOff>
      <xdr:row>0</xdr:row>
      <xdr:rowOff>69272</xdr:rowOff>
    </xdr:from>
    <xdr:to>
      <xdr:col>3</xdr:col>
      <xdr:colOff>368877</xdr:colOff>
      <xdr:row>3</xdr:row>
      <xdr:rowOff>51937</xdr:rowOff>
    </xdr:to>
    <xdr:sp macro="" textlink="">
      <xdr:nvSpPr>
        <xdr:cNvPr id="8" name="Right Arrow 7">
          <a:hlinkClick xmlns:r="http://schemas.openxmlformats.org/officeDocument/2006/relationships" r:id="rId3"/>
        </xdr:cNvPr>
        <xdr:cNvSpPr/>
      </xdr:nvSpPr>
      <xdr:spPr>
        <a:xfrm>
          <a:off x="368877" y="69272"/>
          <a:ext cx="1930977" cy="554165"/>
        </a:xfrm>
        <a:prstGeom prst="rightArrow">
          <a:avLst/>
        </a:prstGeom>
        <a:solidFill>
          <a:schemeClr val="tx2">
            <a:lumMod val="20000"/>
            <a:lumOff val="80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>
              <a:solidFill>
                <a:srgbClr val="C00000"/>
              </a:solidFill>
            </a:rPr>
            <a:t>Go to Graphs </a:t>
          </a:r>
          <a:r>
            <a:rPr lang="en-US" sz="700" b="1">
              <a:solidFill>
                <a:srgbClr val="C00000"/>
              </a:solidFill>
            </a:rPr>
            <a:t>(Click Here)</a:t>
          </a:r>
        </a:p>
      </xdr:txBody>
    </xdr:sp>
    <xdr:clientData/>
  </xdr:twoCellAnchor>
  <xdr:twoCellAnchor>
    <xdr:from>
      <xdr:col>106</xdr:col>
      <xdr:colOff>138557</xdr:colOff>
      <xdr:row>0</xdr:row>
      <xdr:rowOff>0</xdr:rowOff>
    </xdr:from>
    <xdr:to>
      <xdr:col>109</xdr:col>
      <xdr:colOff>251125</xdr:colOff>
      <xdr:row>2</xdr:row>
      <xdr:rowOff>173165</xdr:rowOff>
    </xdr:to>
    <xdr:sp macro="" textlink="">
      <xdr:nvSpPr>
        <xdr:cNvPr id="9" name="Right Arrow 8">
          <a:hlinkClick xmlns:r="http://schemas.openxmlformats.org/officeDocument/2006/relationships" r:id="rId2"/>
        </xdr:cNvPr>
        <xdr:cNvSpPr/>
      </xdr:nvSpPr>
      <xdr:spPr>
        <a:xfrm>
          <a:off x="73290557" y="0"/>
          <a:ext cx="1930977" cy="554165"/>
        </a:xfrm>
        <a:prstGeom prst="rightArrow">
          <a:avLst/>
        </a:prstGeom>
        <a:solidFill>
          <a:schemeClr val="tx2">
            <a:lumMod val="20000"/>
            <a:lumOff val="80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>
              <a:solidFill>
                <a:srgbClr val="C00000"/>
              </a:solidFill>
            </a:rPr>
            <a:t>Weather Data Comparison </a:t>
          </a:r>
          <a:r>
            <a:rPr lang="en-US" sz="700" b="1">
              <a:solidFill>
                <a:srgbClr val="C00000"/>
              </a:solidFill>
            </a:rPr>
            <a:t>(Click Here)</a:t>
          </a:r>
        </a:p>
      </xdr:txBody>
    </xdr:sp>
    <xdr:clientData/>
  </xdr:twoCellAnchor>
  <xdr:twoCellAnchor>
    <xdr:from>
      <xdr:col>95</xdr:col>
      <xdr:colOff>597477</xdr:colOff>
      <xdr:row>0</xdr:row>
      <xdr:rowOff>43295</xdr:rowOff>
    </xdr:from>
    <xdr:to>
      <xdr:col>97</xdr:col>
      <xdr:colOff>450272</xdr:colOff>
      <xdr:row>2</xdr:row>
      <xdr:rowOff>129886</xdr:rowOff>
    </xdr:to>
    <xdr:sp macro="" textlink="">
      <xdr:nvSpPr>
        <xdr:cNvPr id="10" name="Left Arrow 9">
          <a:hlinkClick xmlns:r="http://schemas.openxmlformats.org/officeDocument/2006/relationships" r:id="rId4"/>
        </xdr:cNvPr>
        <xdr:cNvSpPr/>
      </xdr:nvSpPr>
      <xdr:spPr>
        <a:xfrm>
          <a:off x="67081977" y="43295"/>
          <a:ext cx="1065068" cy="467591"/>
        </a:xfrm>
        <a:prstGeom prst="leftArrow">
          <a:avLst/>
        </a:prstGeom>
        <a:solidFill>
          <a:schemeClr val="tx2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 u="sng">
              <a:solidFill>
                <a:srgbClr val="C00000"/>
              </a:solidFill>
            </a:rPr>
            <a:t>Back to Outputs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76200</xdr:rowOff>
        </xdr:from>
        <xdr:to>
          <xdr:col>2</xdr:col>
          <xdr:colOff>457200</xdr:colOff>
          <xdr:row>10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28575</xdr:rowOff>
        </xdr:from>
        <xdr:to>
          <xdr:col>2</xdr:col>
          <xdr:colOff>428625</xdr:colOff>
          <xdr:row>14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38100</xdr:rowOff>
        </xdr:from>
        <xdr:to>
          <xdr:col>2</xdr:col>
          <xdr:colOff>485775</xdr:colOff>
          <xdr:row>22</xdr:row>
          <xdr:rowOff>152400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28</xdr:row>
          <xdr:rowOff>0</xdr:rowOff>
        </xdr:from>
        <xdr:to>
          <xdr:col>2</xdr:col>
          <xdr:colOff>561975</xdr:colOff>
          <xdr:row>29</xdr:row>
          <xdr:rowOff>133350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23</xdr:row>
          <xdr:rowOff>104775</xdr:rowOff>
        </xdr:from>
        <xdr:to>
          <xdr:col>2</xdr:col>
          <xdr:colOff>438150</xdr:colOff>
          <xdr:row>25</xdr:row>
          <xdr:rowOff>9525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33</xdr:row>
          <xdr:rowOff>180975</xdr:rowOff>
        </xdr:from>
        <xdr:to>
          <xdr:col>2</xdr:col>
          <xdr:colOff>561975</xdr:colOff>
          <xdr:row>35</xdr:row>
          <xdr:rowOff>104775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2</xdr:row>
      <xdr:rowOff>0</xdr:rowOff>
    </xdr:from>
    <xdr:to>
      <xdr:col>16</xdr:col>
      <xdr:colOff>876300</xdr:colOff>
      <xdr:row>16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190500</xdr:colOff>
      <xdr:row>22</xdr:row>
      <xdr:rowOff>0</xdr:rowOff>
    </xdr:from>
    <xdr:to>
      <xdr:col>16</xdr:col>
      <xdr:colOff>952500</xdr:colOff>
      <xdr:row>36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1</xdr:row>
      <xdr:rowOff>66675</xdr:rowOff>
    </xdr:from>
    <xdr:to>
      <xdr:col>2</xdr:col>
      <xdr:colOff>571500</xdr:colOff>
      <xdr:row>10</xdr:row>
      <xdr:rowOff>28575</xdr:rowOff>
    </xdr:to>
    <xdr:sp macro="" textlink="">
      <xdr:nvSpPr>
        <xdr:cNvPr id="5" name="Rounded Rectangle 4"/>
        <xdr:cNvSpPr/>
      </xdr:nvSpPr>
      <xdr:spPr>
        <a:xfrm>
          <a:off x="57150" y="266700"/>
          <a:ext cx="1733550" cy="167640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t"/>
        <a:lstStyle/>
        <a:p>
          <a:pPr algn="ctr"/>
          <a:r>
            <a:rPr lang="en-US" sz="900" b="1" u="sng">
              <a:solidFill>
                <a:schemeClr val="accent2">
                  <a:lumMod val="50000"/>
                </a:schemeClr>
              </a:solidFill>
            </a:rPr>
            <a:t>Summary of Weather Data</a:t>
          </a:r>
        </a:p>
        <a:p>
          <a:pPr algn="l"/>
          <a:endParaRPr lang="en-US" sz="1000" b="1" u="sng">
            <a:solidFill>
              <a:schemeClr val="accent2">
                <a:lumMod val="50000"/>
              </a:schemeClr>
            </a:solidFill>
          </a:endParaRPr>
        </a:p>
        <a:p>
          <a:pPr algn="l"/>
          <a:r>
            <a:rPr lang="en-US" sz="1000" b="1" u="sng">
              <a:solidFill>
                <a:schemeClr val="accent2">
                  <a:lumMod val="50000"/>
                </a:schemeClr>
              </a:solidFill>
            </a:rPr>
            <a:t>STEP1</a:t>
          </a:r>
        </a:p>
        <a:p>
          <a:pPr algn="l"/>
          <a:endParaRPr lang="en-US" sz="1000" b="1" u="sng">
            <a:solidFill>
              <a:schemeClr val="accent2">
                <a:lumMod val="50000"/>
              </a:schemeClr>
            </a:solidFill>
          </a:endParaRPr>
        </a:p>
        <a:p>
          <a:pPr algn="l"/>
          <a:endParaRPr lang="en-US" sz="1000" b="1" u="sng">
            <a:solidFill>
              <a:schemeClr val="accent2">
                <a:lumMod val="50000"/>
              </a:schemeClr>
            </a:solidFill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000" b="1" i="0" u="sng" strike="noStrike" kern="0" cap="none" spc="0" normalizeH="0" baseline="0" noProof="0">
            <a:ln>
              <a:noFill/>
            </a:ln>
            <a:solidFill>
              <a:srgbClr val="C0504D">
                <a:lumMod val="50000"/>
              </a:srgbClr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STEP</a:t>
          </a:r>
          <a:r>
            <a:rPr kumimoji="0" lang="en-US" sz="1100" b="1" i="0" u="sng" strike="noStrike" kern="0" cap="none" spc="0" normalizeH="0" baseline="0" noProof="0">
              <a:ln>
                <a:noFill/>
              </a:ln>
              <a:solidFill>
                <a:srgbClr val="C0504D">
                  <a:lumMod val="50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2</a:t>
          </a:r>
          <a:endParaRPr lang="en-US" sz="1100" b="1" u="sng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24</xdr:col>
      <xdr:colOff>57149</xdr:colOff>
      <xdr:row>1</xdr:row>
      <xdr:rowOff>0</xdr:rowOff>
    </xdr:from>
    <xdr:to>
      <xdr:col>25</xdr:col>
      <xdr:colOff>647700</xdr:colOff>
      <xdr:row>3</xdr:row>
      <xdr:rowOff>86591</xdr:rowOff>
    </xdr:to>
    <xdr:sp macro="" textlink="">
      <xdr:nvSpPr>
        <xdr:cNvPr id="6" name="Left Arrow 5">
          <a:hlinkClick xmlns:r="http://schemas.openxmlformats.org/officeDocument/2006/relationships" r:id="rId3"/>
        </xdr:cNvPr>
        <xdr:cNvSpPr/>
      </xdr:nvSpPr>
      <xdr:spPr>
        <a:xfrm>
          <a:off x="10858499" y="200025"/>
          <a:ext cx="1390651" cy="467591"/>
        </a:xfrm>
        <a:prstGeom prst="leftArrow">
          <a:avLst/>
        </a:prstGeom>
        <a:solidFill>
          <a:schemeClr val="tx2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 u="sng">
              <a:solidFill>
                <a:srgbClr val="C00000"/>
              </a:solidFill>
            </a:rPr>
            <a:t>Back to Output</a:t>
          </a:r>
          <a:r>
            <a:rPr lang="en-US" sz="800" b="1" u="sng" baseline="0">
              <a:solidFill>
                <a:srgbClr val="C00000"/>
              </a:solidFill>
            </a:rPr>
            <a:t> Graphs</a:t>
          </a:r>
          <a:endParaRPr lang="en-US" sz="800" b="1" u="sng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57150</xdr:colOff>
      <xdr:row>10</xdr:row>
      <xdr:rowOff>95251</xdr:rowOff>
    </xdr:from>
    <xdr:to>
      <xdr:col>2</xdr:col>
      <xdr:colOff>571500</xdr:colOff>
      <xdr:row>16</xdr:row>
      <xdr:rowOff>19050</xdr:rowOff>
    </xdr:to>
    <xdr:sp macro="" textlink="">
      <xdr:nvSpPr>
        <xdr:cNvPr id="7" name="Rounded Rectangle 6"/>
        <xdr:cNvSpPr/>
      </xdr:nvSpPr>
      <xdr:spPr>
        <a:xfrm>
          <a:off x="57150" y="2009776"/>
          <a:ext cx="1733550" cy="1066799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t"/>
        <a:lstStyle/>
        <a:p>
          <a:pPr algn="ctr"/>
          <a:r>
            <a:rPr lang="en-US" sz="900" b="1" u="sng">
              <a:solidFill>
                <a:schemeClr val="accent2">
                  <a:lumMod val="50000"/>
                </a:schemeClr>
              </a:solidFill>
            </a:rPr>
            <a:t>Analysis of Yesterday's</a:t>
          </a:r>
          <a:r>
            <a:rPr lang="en-US" sz="900" b="1" u="sng" baseline="0">
              <a:solidFill>
                <a:schemeClr val="accent2">
                  <a:lumMod val="50000"/>
                </a:schemeClr>
              </a:solidFill>
            </a:rPr>
            <a:t> Error</a:t>
          </a:r>
          <a:endParaRPr lang="en-US" sz="900" b="1" u="sng">
            <a:solidFill>
              <a:schemeClr val="accent2">
                <a:lumMod val="50000"/>
              </a:schemeClr>
            </a:solidFill>
          </a:endParaRPr>
        </a:p>
        <a:p>
          <a:pPr algn="l"/>
          <a:endParaRPr lang="en-US" sz="1000" b="1" u="sng">
            <a:solidFill>
              <a:schemeClr val="accent2">
                <a:lumMod val="50000"/>
              </a:schemeClr>
            </a:solidFill>
          </a:endParaRPr>
        </a:p>
        <a:p>
          <a:pPr algn="l"/>
          <a:r>
            <a:rPr lang="en-US" sz="1000" b="1" u="sng">
              <a:solidFill>
                <a:schemeClr val="accent2">
                  <a:lumMod val="50000"/>
                </a:schemeClr>
              </a:solidFill>
            </a:rPr>
            <a:t>STEP3</a:t>
          </a:r>
        </a:p>
      </xdr:txBody>
    </xdr:sp>
    <xdr:clientData/>
  </xdr:twoCellAnchor>
  <xdr:twoCellAnchor>
    <xdr:from>
      <xdr:col>0</xdr:col>
      <xdr:colOff>76200</xdr:colOff>
      <xdr:row>16</xdr:row>
      <xdr:rowOff>171451</xdr:rowOff>
    </xdr:from>
    <xdr:to>
      <xdr:col>2</xdr:col>
      <xdr:colOff>590550</xdr:colOff>
      <xdr:row>22</xdr:row>
      <xdr:rowOff>76200</xdr:rowOff>
    </xdr:to>
    <xdr:sp macro="" textlink="">
      <xdr:nvSpPr>
        <xdr:cNvPr id="8" name="Rounded Rectangle 7"/>
        <xdr:cNvSpPr/>
      </xdr:nvSpPr>
      <xdr:spPr>
        <a:xfrm>
          <a:off x="76200" y="3228976"/>
          <a:ext cx="1733550" cy="1066799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t"/>
        <a:lstStyle/>
        <a:p>
          <a:pPr algn="ctr"/>
          <a:r>
            <a:rPr lang="en-US" sz="900" b="1" u="sng">
              <a:solidFill>
                <a:schemeClr val="accent2">
                  <a:lumMod val="50000"/>
                </a:schemeClr>
              </a:solidFill>
            </a:rPr>
            <a:t>Store all Input Files in Folder</a:t>
          </a:r>
        </a:p>
        <a:p>
          <a:pPr algn="l"/>
          <a:endParaRPr lang="en-US" sz="1000" b="1" u="sng">
            <a:solidFill>
              <a:schemeClr val="accent2">
                <a:lumMod val="50000"/>
              </a:schemeClr>
            </a:solidFill>
          </a:endParaRPr>
        </a:p>
        <a:p>
          <a:pPr algn="l"/>
          <a:r>
            <a:rPr lang="en-US" sz="1000" b="1" u="sng">
              <a:solidFill>
                <a:schemeClr val="accent2">
                  <a:lumMod val="50000"/>
                </a:schemeClr>
              </a:solidFill>
            </a:rPr>
            <a:t>STEP4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171450</xdr:rowOff>
        </xdr:from>
        <xdr:to>
          <xdr:col>2</xdr:col>
          <xdr:colOff>514350</xdr:colOff>
          <xdr:row>6</xdr:row>
          <xdr:rowOff>76200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13</xdr:row>
          <xdr:rowOff>152400</xdr:rowOff>
        </xdr:from>
        <xdr:to>
          <xdr:col>2</xdr:col>
          <xdr:colOff>523875</xdr:colOff>
          <xdr:row>15</xdr:row>
          <xdr:rowOff>76200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20</xdr:row>
          <xdr:rowOff>0</xdr:rowOff>
        </xdr:from>
        <xdr:to>
          <xdr:col>2</xdr:col>
          <xdr:colOff>504825</xdr:colOff>
          <xdr:row>21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7</xdr:row>
          <xdr:rowOff>180975</xdr:rowOff>
        </xdr:from>
        <xdr:to>
          <xdr:col>2</xdr:col>
          <xdr:colOff>514350</xdr:colOff>
          <xdr:row>9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4</xdr:row>
      <xdr:rowOff>0</xdr:rowOff>
    </xdr:from>
    <xdr:to>
      <xdr:col>29</xdr:col>
      <xdr:colOff>590550</xdr:colOff>
      <xdr:row>18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514349</xdr:colOff>
      <xdr:row>5</xdr:row>
      <xdr:rowOff>0</xdr:rowOff>
    </xdr:from>
    <xdr:to>
      <xdr:col>3</xdr:col>
      <xdr:colOff>209550</xdr:colOff>
      <xdr:row>7</xdr:row>
      <xdr:rowOff>19050</xdr:rowOff>
    </xdr:to>
    <xdr:sp macro="" textlink="">
      <xdr:nvSpPr>
        <xdr:cNvPr id="6" name="Rectangle 5">
          <a:hlinkClick xmlns:r="http://schemas.openxmlformats.org/officeDocument/2006/relationships" r:id="rId2"/>
        </xdr:cNvPr>
        <xdr:cNvSpPr/>
      </xdr:nvSpPr>
      <xdr:spPr>
        <a:xfrm>
          <a:off x="514349" y="952500"/>
          <a:ext cx="1524001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Go to GRAPHS</a:t>
          </a:r>
        </a:p>
      </xdr:txBody>
    </xdr:sp>
    <xdr:clientData/>
  </xdr:twoCellAnchor>
  <xdr:twoCellAnchor>
    <xdr:from>
      <xdr:col>27</xdr:col>
      <xdr:colOff>561975</xdr:colOff>
      <xdr:row>1</xdr:row>
      <xdr:rowOff>0</xdr:rowOff>
    </xdr:from>
    <xdr:to>
      <xdr:col>29</xdr:col>
      <xdr:colOff>407843</xdr:colOff>
      <xdr:row>3</xdr:row>
      <xdr:rowOff>86591</xdr:rowOff>
    </xdr:to>
    <xdr:sp macro="" textlink="">
      <xdr:nvSpPr>
        <xdr:cNvPr id="7" name="Left Arrow 6">
          <a:hlinkClick xmlns:r="http://schemas.openxmlformats.org/officeDocument/2006/relationships" r:id="rId3"/>
        </xdr:cNvPr>
        <xdr:cNvSpPr/>
      </xdr:nvSpPr>
      <xdr:spPr>
        <a:xfrm>
          <a:off x="18811875" y="190500"/>
          <a:ext cx="1065068" cy="467591"/>
        </a:xfrm>
        <a:prstGeom prst="leftArrow">
          <a:avLst/>
        </a:prstGeom>
        <a:solidFill>
          <a:schemeClr val="tx2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800" b="1" u="sng">
              <a:solidFill>
                <a:srgbClr val="C00000"/>
              </a:solidFill>
            </a:rPr>
            <a:t>Back to Outputs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2</xdr:row>
          <xdr:rowOff>9525</xdr:rowOff>
        </xdr:from>
        <xdr:to>
          <xdr:col>3</xdr:col>
          <xdr:colOff>228600</xdr:colOff>
          <xdr:row>4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480628" refreshedDate="42044.517686342595" createdVersion="3" refreshedVersion="3" minRefreshableVersion="3" recordCount="289">
  <cacheSource type="worksheet">
    <worksheetSource ref="F1:M1048576" sheet="Multi_Period"/>
  </cacheSource>
  <cacheFields count="8">
    <cacheField name="Date" numFmtId="0">
      <sharedItems containsBlank="1" count="4">
        <s v="02/11/2015"/>
        <s v="02/12/2015"/>
        <s v="02/13/2015"/>
        <m/>
      </sharedItems>
    </cacheField>
    <cacheField name="Block" numFmtId="0">
      <sharedItems containsBlank="1" count="97">
        <s v="0000-0015"/>
        <s v="0015-0030"/>
        <s v="0030-0045"/>
        <s v="0045-0100"/>
        <s v="0100-0115"/>
        <s v="0115-0130"/>
        <s v="0130-0145"/>
        <s v="0145-0200"/>
        <s v="0200-0215"/>
        <s v="0215-0230"/>
        <s v="0230-0245"/>
        <s v="0245-0300"/>
        <s v="0300-0315"/>
        <s v="0315-0330"/>
        <s v="0330-0345"/>
        <s v="0345-0400"/>
        <s v="0400-0415"/>
        <s v="0415-0430"/>
        <s v="0430-0445"/>
        <s v="0445-0500"/>
        <s v="0500-0515"/>
        <s v="0515-0530"/>
        <s v="0530-0545"/>
        <s v="0545-0600"/>
        <s v="0600-0615"/>
        <s v="0615-0630"/>
        <s v="0630-0645"/>
        <s v="0645-0700"/>
        <s v="0700-0715"/>
        <s v="0715-0730"/>
        <s v="0730-0745"/>
        <s v="0745-0800"/>
        <s v="0800-0815"/>
        <s v="0815-0830"/>
        <s v="0830-0845"/>
        <s v="0845-0900"/>
        <s v="0900-0915"/>
        <s v="0915-0930"/>
        <s v="0930-0945"/>
        <s v="0945-1000"/>
        <s v="1000-1015"/>
        <s v="1015-1030"/>
        <s v="1030-1045"/>
        <s v="1045-1100"/>
        <s v="1100-1115"/>
        <s v="1115-1130"/>
        <s v="1130-1145"/>
        <s v="1145-1200"/>
        <s v="1200-1215"/>
        <s v="1215-1230"/>
        <s v="1230-1245"/>
        <s v="1245-1300"/>
        <s v="1300-1315"/>
        <s v="1315-1330"/>
        <s v="1330-1345"/>
        <s v="1345-1400"/>
        <s v="1400-1415"/>
        <s v="1415-1430"/>
        <s v="1430-1445"/>
        <s v="1445-1500"/>
        <s v="1500-1515"/>
        <s v="1515-1530"/>
        <s v="1530-1545"/>
        <s v="1545-1600"/>
        <s v="1600-1615"/>
        <s v="1615-1630"/>
        <s v="1630-1645"/>
        <s v="1645-1700"/>
        <s v="1700-1715"/>
        <s v="1715-1730"/>
        <s v="1730-1745"/>
        <s v="1745-1800"/>
        <s v="1800-1815"/>
        <s v="1815-1830"/>
        <s v="1830-1845"/>
        <s v="1845-1900"/>
        <s v="1900-1915"/>
        <s v="1915-1930"/>
        <s v="1930-1945"/>
        <s v="1945-2000"/>
        <s v="2000-2015"/>
        <s v="2015-2030"/>
        <s v="2030-2045"/>
        <s v="2045-2100"/>
        <s v="2100-2115"/>
        <s v="2115-2130"/>
        <s v="2130-2145"/>
        <s v="2145-2200"/>
        <s v="2200-2215"/>
        <s v="2215-2230"/>
        <s v="2230-2245"/>
        <s v="2245-2300"/>
        <s v="2300-2315"/>
        <s v="2315-2330"/>
        <s v="2330-2345"/>
        <s v="2345-2400"/>
        <m/>
      </sharedItems>
    </cacheField>
    <cacheField name="HW" numFmtId="0">
      <sharedItems containsString="0" containsBlank="1" containsNumber="1" minValue="2810.4956146786799" maxValue="4858.3578002369604"/>
    </cacheField>
    <cacheField name="FF1" numFmtId="0">
      <sharedItems containsString="0" containsBlank="1" containsNumber="1" minValue="2569.6003915115398" maxValue="4642.8537694125498"/>
    </cacheField>
    <cacheField name="SVM" numFmtId="0">
      <sharedItems containsString="0" containsBlank="1" containsNumber="1" minValue="2808.9069635407" maxValue="4895.5852967910096"/>
    </cacheField>
    <cacheField name="Arfima1" numFmtId="0">
      <sharedItems containsString="0" containsBlank="1" containsNumber="1" minValue="2893.9514788976599" maxValue="4816.1133304968198"/>
    </cacheField>
    <cacheField name="Arfima2" numFmtId="0">
      <sharedItems containsString="0" containsBlank="1" containsNumber="1" minValue="2897.10305393726" maxValue="4821.7403543907403"/>
    </cacheField>
    <cacheField name="Actual.Last.Day" numFmtId="0">
      <sharedItems containsString="0" containsBlank="1" containsNumber="1" minValue="2764.0589502361704" maxValue="43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ethia, Shilpa" refreshedDate="42058.710906944441" createdVersion="3" refreshedVersion="5" minRefreshableVersion="3" recordCount="384">
  <cacheSource type="worksheet">
    <worksheetSource ref="S1:X385" sheet="Sheet3"/>
  </cacheSource>
  <cacheFields count="6">
    <cacheField name="Date" numFmtId="14">
      <sharedItems containsSemiMixedTypes="0" containsNonDate="0" containsDate="1" containsString="0" minDate="2015-02-01T00:00:00" maxDate="2015-02-21T00:00:00" count="19">
        <d v="2015-02-19T00:00:00"/>
        <d v="2015-02-18T00:00:00"/>
        <d v="2015-02-20T00:00:00"/>
        <d v="2015-02-17T00:00:00"/>
        <d v="2015-02-02T00:00:00" u="1"/>
        <d v="2015-02-14T00:00:00" u="1"/>
        <d v="2015-02-07T00:00:00" u="1"/>
        <d v="2015-02-12T00:00:00" u="1"/>
        <d v="2015-02-05T00:00:00" u="1"/>
        <d v="2015-02-10T00:00:00" u="1"/>
        <d v="2015-02-03T00:00:00" u="1"/>
        <d v="2015-02-15T00:00:00" u="1"/>
        <d v="2015-02-08T00:00:00" u="1"/>
        <d v="2015-02-01T00:00:00" u="1"/>
        <d v="2015-02-06T00:00:00" u="1"/>
        <d v="2015-02-11T00:00:00" u="1"/>
        <d v="2015-02-04T00:00:00" u="1"/>
        <d v="2015-02-16T00:00:00" u="1"/>
        <d v="2015-02-09T00:00:00" u="1"/>
      </sharedItems>
    </cacheField>
    <cacheField name="Temperature" numFmtId="0">
      <sharedItems containsSemiMixedTypes="0" containsString="0" containsNumber="1" minValue="13.90220498" maxValue="24.262874431"/>
    </cacheField>
    <cacheField name="Humidity" numFmtId="0">
      <sharedItems containsSemiMixedTypes="0" containsString="0" containsNumber="1" minValue="0.53049392054" maxValue="0.87921375891999998"/>
    </cacheField>
    <cacheField name="CC" numFmtId="0">
      <sharedItems containsSemiMixedTypes="0" containsString="0" containsNumber="1" minValue="0.11073180477" maxValue="0.99806499326999998"/>
    </cacheField>
    <cacheField name="Block" numFmtId="0">
      <sharedItems count="11">
        <s v="M1"/>
        <s v="M2"/>
        <s v="M3"/>
        <s v="M3A"/>
        <s v="M4"/>
        <s v="M4A"/>
        <s v="M5"/>
        <s v="M6"/>
        <s v="M7"/>
        <s v="M8"/>
        <s v="M9"/>
      </sharedItems>
    </cacheField>
    <cacheField name="TimeBloc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ethia, Shilpa" refreshedDate="42058.718328819443" createdVersion="3" refreshedVersion="5" minRefreshableVersion="3" recordCount="384">
  <cacheSource type="worksheet">
    <worksheetSource ref="E1:J385" sheet="Sheet3"/>
  </cacheSource>
  <cacheFields count="6">
    <cacheField name="Date" numFmtId="14">
      <sharedItems containsSemiMixedTypes="0" containsNonDate="0" containsDate="1" containsString="0" minDate="2014-08-01T00:00:00" maxDate="2015-02-23T00:00:00" count="56">
        <d v="2015-02-21T00:00:00"/>
        <d v="2015-02-20T00:00:00"/>
        <d v="2015-02-22T00:00:00"/>
        <d v="2015-02-19T00:00:00"/>
        <d v="2014-08-01T00:00:00" u="1"/>
        <d v="2015-01-23T00:00:00" u="1"/>
        <d v="2014-12-28T00:00:00" u="1"/>
        <d v="2015-02-02T00:00:00" u="1"/>
        <d v="2015-01-16T00:00:00" u="1"/>
        <d v="2015-01-09T00:00:00" u="1"/>
        <d v="2015-02-14T00:00:00" u="1"/>
        <d v="2015-01-02T00:00:00" u="1"/>
        <d v="2015-02-07T00:00:00" u="1"/>
        <d v="2015-01-21T00:00:00" u="1"/>
        <d v="2014-12-26T00:00:00" u="1"/>
        <d v="2015-01-14T00:00:00" u="1"/>
        <d v="2014-12-19T00:00:00" u="1"/>
        <d v="2015-01-07T00:00:00" u="1"/>
        <d v="2014-12-12T00:00:00" u="1"/>
        <d v="2015-02-12T00:00:00" u="1"/>
        <d v="2014-12-31T00:00:00" u="1"/>
        <d v="2015-02-05T00:00:00" u="1"/>
        <d v="2015-01-19T00:00:00" u="1"/>
        <d v="2015-01-12T00:00:00" u="1"/>
        <d v="2015-02-17T00:00:00" u="1"/>
        <d v="2015-01-31T00:00:00" u="1"/>
        <d v="2015-01-05T00:00:00" u="1"/>
        <d v="2015-02-10T00:00:00" u="1"/>
        <d v="2014-12-29T00:00:00" u="1"/>
        <d v="2015-02-03T00:00:00" u="1"/>
        <d v="2015-01-17T00:00:00" u="1"/>
        <d v="2015-01-10T00:00:00" u="1"/>
        <d v="2015-02-15T00:00:00" u="1"/>
        <d v="2015-01-03T00:00:00" u="1"/>
        <d v="2015-02-08T00:00:00" u="1"/>
        <d v="2015-01-22T00:00:00" u="1"/>
        <d v="2015-02-01T00:00:00" u="1"/>
        <d v="2015-01-15T00:00:00" u="1"/>
        <d v="2014-12-20T00:00:00" u="1"/>
        <d v="2015-01-08T00:00:00" u="1"/>
        <d v="2015-01-01T00:00:00" u="1"/>
        <d v="2015-02-06T00:00:00" u="1"/>
        <d v="2015-01-20T00:00:00" u="1"/>
        <d v="2015-01-13T00:00:00" u="1"/>
        <d v="2014-12-18T00:00:00" u="1"/>
        <d v="2015-02-18T00:00:00" u="1"/>
        <d v="2015-01-06T00:00:00" u="1"/>
        <d v="2015-02-11T00:00:00" u="1"/>
        <d v="2014-12-30T00:00:00" u="1"/>
        <d v="2015-02-04T00:00:00" u="1"/>
        <d v="2015-01-18T00:00:00" u="1"/>
        <d v="2015-01-11T00:00:00" u="1"/>
        <d v="2015-02-16T00:00:00" u="1"/>
        <d v="2015-01-30T00:00:00" u="1"/>
        <d v="2015-01-04T00:00:00" u="1"/>
        <d v="2015-02-09T00:00:00" u="1"/>
      </sharedItems>
    </cacheField>
    <cacheField name="Temperature" numFmtId="0">
      <sharedItems containsSemiMixedTypes="0" containsString="0" containsNumber="1" minValue="12.47655337" maxValue="25.409553202000001"/>
    </cacheField>
    <cacheField name="Humidity" numFmtId="0">
      <sharedItems containsSemiMixedTypes="0" containsString="0" containsNumber="1" minValue="0.52375388624999997" maxValue="0.93382670080999997"/>
    </cacheField>
    <cacheField name="CC" numFmtId="0">
      <sharedItems containsSemiMixedTypes="0" containsString="0" containsNumber="1" minValue="2.9073285389999998E-2" maxValue="0.96985923838999999"/>
    </cacheField>
    <cacheField name="Block" numFmtId="0">
      <sharedItems count="11">
        <s v="M1"/>
        <s v="M2"/>
        <s v="M3"/>
        <s v="M3A"/>
        <s v="M4"/>
        <s v="M4A"/>
        <s v="M5"/>
        <s v="M6"/>
        <s v="M7"/>
        <s v="M8"/>
        <s v="M9"/>
      </sharedItems>
    </cacheField>
    <cacheField name="TimeBloc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ethia, Shilpa" refreshedDate="42059.307027893519" createdVersion="3" refreshedVersion="5" minRefreshableVersion="3" recordCount="96">
  <cacheSource type="worksheet">
    <worksheetSource ref="E1:CG97" sheet="Sheet2"/>
  </cacheSource>
  <cacheFields count="81">
    <cacheField name="Blocks" numFmtId="0">
      <sharedItems/>
    </cacheField>
    <cacheField name="Date" numFmtId="14">
      <sharedItems containsSemiMixedTypes="0" containsNonDate="0" containsDate="1" containsString="0" minDate="2015-02-22T00:00:00" maxDate="2015-02-23T00:00:00"/>
    </cacheField>
    <cacheField name="Block" numFmtId="0">
      <sharedItems count="96">
        <s v="0000-0015"/>
        <s v="0015-0030"/>
        <s v="0030-0045"/>
        <s v="0045-0100"/>
        <s v="0100-0115"/>
        <s v="0115-0130"/>
        <s v="0130-0145"/>
        <s v="0145-0200"/>
        <s v="0200-0215"/>
        <s v="0215-0230"/>
        <s v="0230-0245"/>
        <s v="0245-0300"/>
        <s v="0300-0315"/>
        <s v="0315-0330"/>
        <s v="0330-0345"/>
        <s v="0345-0400"/>
        <s v="0400-0415"/>
        <s v="0415-0430"/>
        <s v="0430-0445"/>
        <s v="0445-0500"/>
        <s v="0500-0515"/>
        <s v="0515-0530"/>
        <s v="0530-0545"/>
        <s v="0545-0600"/>
        <s v="0600-0615"/>
        <s v="0615-0630"/>
        <s v="0630-0645"/>
        <s v="0645-0700"/>
        <s v="0700-0715"/>
        <s v="0715-0730"/>
        <s v="0730-0745"/>
        <s v="0745-0800"/>
        <s v="0800-0815"/>
        <s v="0815-0830"/>
        <s v="0830-0845"/>
        <s v="0845-0900"/>
        <s v="0900-0915"/>
        <s v="0915-0930"/>
        <s v="0930-0945"/>
        <s v="0945-1000"/>
        <s v="1000-1015"/>
        <s v="1015-1030"/>
        <s v="1030-1045"/>
        <s v="1045-1100"/>
        <s v="1100-1115"/>
        <s v="1115-1130"/>
        <s v="1130-1145"/>
        <s v="1145-1200"/>
        <s v="1200-1215"/>
        <s v="1215-1230"/>
        <s v="1230-1245"/>
        <s v="1245-1300"/>
        <s v="1300-1315"/>
        <s v="1315-1330"/>
        <s v="1330-1345"/>
        <s v="1345-1400"/>
        <s v="1400-1415"/>
        <s v="1415-1430"/>
        <s v="1430-1445"/>
        <s v="1445-1500"/>
        <s v="1500-1515"/>
        <s v="1515-1530"/>
        <s v="1530-1545"/>
        <s v="1545-1600"/>
        <s v="1600-1615"/>
        <s v="1615-1630"/>
        <s v="1630-1645"/>
        <s v="1645-1700"/>
        <s v="1700-1715"/>
        <s v="1715-1730"/>
        <s v="1730-1745"/>
        <s v="1745-1800"/>
        <s v="1800-1815"/>
        <s v="1815-1830"/>
        <s v="1830-1845"/>
        <s v="1845-1900"/>
        <s v="1900-1915"/>
        <s v="1915-1930"/>
        <s v="1930-1945"/>
        <s v="1945-2000"/>
        <s v="2000-2015"/>
        <s v="2015-2030"/>
        <s v="2030-2045"/>
        <s v="2045-2100"/>
        <s v="2100-2115"/>
        <s v="2115-2130"/>
        <s v="2130-2145"/>
        <s v="2145-2200"/>
        <s v="2200-2215"/>
        <s v="2215-2230"/>
        <s v="2230-2245"/>
        <s v="2245-2300"/>
        <s v="2300-2315"/>
        <s v="2315-2330"/>
        <s v="2330-2345"/>
        <s v="2345-2400"/>
      </sharedItems>
    </cacheField>
    <cacheField name="21-Feb" numFmtId="0">
      <sharedItems containsMixedTypes="1" containsNumber="1" containsInteger="1" minValue="2854" maxValue="3119"/>
    </cacheField>
    <cacheField name="20-Feb" numFmtId="0">
      <sharedItems containsSemiMixedTypes="0" containsString="0" containsNumber="1" containsInteger="1" minValue="2800" maxValue="4385"/>
    </cacheField>
    <cacheField name="19-Feb" numFmtId="0">
      <sharedItems containsSemiMixedTypes="0" containsString="0" containsNumber="1" containsInteger="1" minValue="2984" maxValue="5001"/>
    </cacheField>
    <cacheField name="18-Feb" numFmtId="0">
      <sharedItems containsSemiMixedTypes="0" containsString="0" containsNumber="1" containsInteger="1" minValue="2772" maxValue="4993"/>
    </cacheField>
    <cacheField name="&quot;15 Feb 2015&quot;" numFmtId="0">
      <sharedItems containsSemiMixedTypes="0" containsString="0" containsNumber="1" minValue="3123" maxValue="5340"/>
    </cacheField>
    <cacheField name="Final" numFmtId="0">
      <sharedItems containsSemiMixedTypes="0" containsString="0" containsNumber="1" minValue="2927" maxValue="4274.9543793046796"/>
    </cacheField>
    <cacheField name="&quot;Combination&quot;" numFmtId="0">
      <sharedItems containsSemiMixedTypes="0" containsString="0" containsNumber="1" minValue="2997.26928890403" maxValue="4223.2059024257196"/>
    </cacheField>
    <cacheField name="Year1" numFmtId="0">
      <sharedItems containsMixedTypes="1" containsNumber="1" containsInteger="1" minValue="2880" maxValue="3085"/>
    </cacheField>
    <cacheField name="Arfima1" numFmtId="0">
      <sharedItems containsMixedTypes="1" containsNumber="1" containsInteger="1" minValue="2932" maxValue="3146"/>
    </cacheField>
    <cacheField name="Arfima2" numFmtId="0">
      <sharedItems containsMixedTypes="1" containsNumber="1" containsInteger="1" minValue="2927" maxValue="3144"/>
    </cacheField>
    <cacheField name="SVM" numFmtId="0">
      <sharedItems containsMixedTypes="1" containsNumber="1" containsInteger="1" minValue="2893" maxValue="3139"/>
    </cacheField>
    <cacheField name="NewFF1" numFmtId="0">
      <sharedItems containsSemiMixedTypes="0" containsString="0" containsNumber="1" containsInteger="1" minValue="2897" maxValue="4611"/>
    </cacheField>
    <cacheField name="FF2" numFmtId="0">
      <sharedItems containsSemiMixedTypes="0" containsString="0" containsNumber="1" containsInteger="1" minValue="2799" maxValue="4504"/>
    </cacheField>
    <cacheField name="Year2" numFmtId="0">
      <sharedItems containsSemiMixedTypes="0" containsString="0" containsNumber="1" containsInteger="1" minValue="2819" maxValue="4254"/>
    </cacheField>
    <cacheField name="X2arfima1" numFmtId="0">
      <sharedItems containsSemiMixedTypes="0" containsString="0" containsNumber="1" containsInteger="1" minValue="2908" maxValue="4543"/>
    </cacheField>
    <cacheField name="X2arfima2" numFmtId="0">
      <sharedItems containsSemiMixedTypes="0" containsString="0" containsNumber="1" containsInteger="1" minValue="2905" maxValue="4556"/>
    </cacheField>
    <cacheField name="X2svm" numFmtId="0">
      <sharedItems containsSemiMixedTypes="0" containsString="0" containsNumber="1" containsInteger="1" minValue="2909" maxValue="4105"/>
    </cacheField>
    <cacheField name="AW_GBM_NoLag" numFmtId="0">
      <sharedItems containsSemiMixedTypes="0" containsString="0" containsNumber="1" containsInteger="1" minValue="3141" maxValue="4331"/>
    </cacheField>
    <cacheField name="AW_GBM_WeekDay" numFmtId="0">
      <sharedItems containsSemiMixedTypes="0" containsString="0" containsNumber="1" containsInteger="1" minValue="3193" maxValue="4417"/>
    </cacheField>
    <cacheField name="AW_GBM_WeekDummy" numFmtId="0">
      <sharedItems containsSemiMixedTypes="0" containsString="0" containsNumber="1" containsInteger="1" minValue="3138" maxValue="4211"/>
    </cacheField>
    <cacheField name="AW_GBM_LagWeather" numFmtId="0">
      <sharedItems containsSemiMixedTypes="0" containsString="0" containsNumber="1" containsInteger="1" minValue="3146" maxValue="4273"/>
    </cacheField>
    <cacheField name="AW_GBM_Lag2Weather" numFmtId="0">
      <sharedItems containsSemiMixedTypes="0" containsString="0" containsNumber="1" containsInteger="1" minValue="3166" maxValue="4317"/>
    </cacheField>
    <cacheField name="AW_GBM_Lag2Weather.1" numFmtId="0">
      <sharedItems containsSemiMixedTypes="0" containsString="0" containsNumber="1" containsInteger="1" minValue="3169" maxValue="4294"/>
    </cacheField>
    <cacheField name="AW_GBM_GAMSpec_CC" numFmtId="0">
      <sharedItems containsSemiMixedTypes="0" containsString="0" containsNumber="1" minValue="2970.86553801338" maxValue="4417.5197136011602"/>
    </cacheField>
    <cacheField name="AW_GBM_GAMSpec" numFmtId="0">
      <sharedItems containsSemiMixedTypes="0" containsString="0" containsNumber="1" containsInteger="1" minValue="2912" maxValue="4567"/>
    </cacheField>
    <cacheField name="AW_RF_NoLag" numFmtId="0">
      <sharedItems containsSemiMixedTypes="0" containsString="0" containsNumber="1" containsInteger="1" minValue="3077" maxValue="4526"/>
    </cacheField>
    <cacheField name="AW_RF_WeekDay" numFmtId="0">
      <sharedItems containsSemiMixedTypes="0" containsString="0" containsNumber="1" containsInteger="1" minValue="2902" maxValue="4467"/>
    </cacheField>
    <cacheField name="AW_RF_WeekDummy" numFmtId="0">
      <sharedItems containsSemiMixedTypes="0" containsString="0" containsNumber="1" containsInteger="1" minValue="3067" maxValue="4421"/>
    </cacheField>
    <cacheField name="AW_RF_LagWeather" numFmtId="0">
      <sharedItems containsSemiMixedTypes="0" containsString="0" containsNumber="1" containsInteger="1" minValue="3061" maxValue="4423"/>
    </cacheField>
    <cacheField name="AW_RF_Lag2Weather" numFmtId="0">
      <sharedItems containsSemiMixedTypes="0" containsString="0" containsNumber="1" containsInteger="1" minValue="3055" maxValue="4341"/>
    </cacheField>
    <cacheField name="AW_RF_Lag2WeekDummy" numFmtId="0">
      <sharedItems containsSemiMixedTypes="0" containsString="0" containsNumber="1" containsInteger="1" minValue="3047" maxValue="4310"/>
    </cacheField>
    <cacheField name="AW_RF_GAMSpec_CC" numFmtId="0">
      <sharedItems containsSemiMixedTypes="0" containsString="0" containsNumber="1" minValue="2939.74327532087" maxValue="4177.6428011241296"/>
    </cacheField>
    <cacheField name="AW_RF_GAMSpec" numFmtId="0">
      <sharedItems containsSemiMixedTypes="0" containsString="0" containsNumber="1" containsInteger="1" minValue="2940" maxValue="4161"/>
    </cacheField>
    <cacheField name="AW_GBM_Consolidated" numFmtId="0">
      <sharedItems containsSemiMixedTypes="0" containsString="0" containsNumber="1" containsInteger="1" minValue="3442" maxValue="4204"/>
    </cacheField>
    <cacheField name="AW_GBM_GAMSpec.1" numFmtId="0">
      <sharedItems containsSemiMixedTypes="0" containsString="0" containsNumber="1" containsInteger="1" minValue="3010" maxValue="4278"/>
    </cacheField>
    <cacheField name="AW_GBM_GAMSpec_Ori" numFmtId="0">
      <sharedItems containsSemiMixedTypes="0" containsString="0" containsNumber="1" containsInteger="1" minValue="2905" maxValue="4335"/>
    </cacheField>
    <cacheField name="AW_RF_Consolidated" numFmtId="0">
      <sharedItems containsSemiMixedTypes="0" containsString="0" containsNumber="1" containsInteger="1" minValue="3436" maxValue="4228"/>
    </cacheField>
    <cacheField name="AW_RF_GAMSpec.1" numFmtId="0">
      <sharedItems containsSemiMixedTypes="0" containsString="0" containsNumber="1" containsInteger="1" minValue="3154" maxValue="4210"/>
    </cacheField>
    <cacheField name="AW_RF_GAMSpec_Ori" numFmtId="0">
      <sharedItems containsSemiMixedTypes="0" containsString="0" containsNumber="1" containsInteger="1" minValue="2999" maxValue="4166"/>
    </cacheField>
    <cacheField name="AW_GAMSpec_LongTrain" numFmtId="0">
      <sharedItems containsSemiMixedTypes="0" containsString="0" containsNumber="1" containsInteger="1" minValue="2829" maxValue="4332"/>
    </cacheField>
    <cacheField name="AW_GAMSpec_ShortTrain" numFmtId="0">
      <sharedItems containsSemiMixedTypes="0" containsString="0" containsNumber="1" containsInteger="1" minValue="2710" maxValue="4384"/>
    </cacheField>
    <cacheField name="AW_GAM_LW_LongTrain" numFmtId="0">
      <sharedItems containsSemiMixedTypes="0" containsString="0" containsNumber="1" containsInteger="1" minValue="2922" maxValue="4436"/>
    </cacheField>
    <cacheField name="AW_GAM_LW_ShortTrain" numFmtId="0">
      <sharedItems containsSemiMixedTypes="0" containsString="0" containsNumber="1" containsInteger="1" minValue="2677" maxValue="4204"/>
    </cacheField>
    <cacheField name="AW_Reg.No.Lag" numFmtId="0">
      <sharedItems containsSemiMixedTypes="0" containsString="0" containsNumber="1" minValue="2950.7840711003701" maxValue="4325.6574743681804"/>
    </cacheField>
    <cacheField name="AW_Reg.Lag1" numFmtId="0">
      <sharedItems containsSemiMixedTypes="0" containsString="0" containsNumber="1" minValue="2947.7799874890302" maxValue="4328.9814098878996"/>
    </cacheField>
    <cacheField name="AW_Reg.Lag2" numFmtId="0">
      <sharedItems containsSemiMixedTypes="0" containsString="0" containsNumber="1" minValue="2944.69510293239" maxValue="4345.4983327705004"/>
    </cacheField>
    <cacheField name="ANN_AW_Rules" numFmtId="0">
      <sharedItems containsSemiMixedTypes="0" containsString="0" containsNumber="1" minValue="2825.5071151183602" maxValue="4965.16400037113"/>
    </cacheField>
    <cacheField name="RF_AW_Rules" numFmtId="0">
      <sharedItems containsSemiMixedTypes="0" containsString="0" containsNumber="1" minValue="2908.7718951633801" maxValue="4478.5573795274604"/>
    </cacheField>
    <cacheField name="WU_GBM_NoLag" numFmtId="0">
      <sharedItems containsSemiMixedTypes="0" containsString="0" containsNumber="1" containsInteger="1" minValue="3141" maxValue="4454"/>
    </cacheField>
    <cacheField name="WU_GBM_WeekDay" numFmtId="0">
      <sharedItems containsSemiMixedTypes="0" containsString="0" containsNumber="1" containsInteger="1" minValue="3196" maxValue="4412"/>
    </cacheField>
    <cacheField name="WU_GBM_WeekDummy" numFmtId="0">
      <sharedItems containsSemiMixedTypes="0" containsString="0" containsNumber="1" containsInteger="1" minValue="3136" maxValue="4304"/>
    </cacheField>
    <cacheField name="WU_GBM_LagWeather" numFmtId="0">
      <sharedItems containsSemiMixedTypes="0" containsString="0" containsNumber="1" containsInteger="1" minValue="3151" maxValue="4390"/>
    </cacheField>
    <cacheField name="WU_GBM_Lag2Weather" numFmtId="0">
      <sharedItems containsSemiMixedTypes="0" containsString="0" containsNumber="1" containsInteger="1" minValue="3183" maxValue="4340"/>
    </cacheField>
    <cacheField name="WU_GBM_Lag2Weather.1" numFmtId="0">
      <sharedItems containsSemiMixedTypes="0" containsString="0" containsNumber="1" containsInteger="1" minValue="3188" maxValue="4327"/>
    </cacheField>
    <cacheField name="WU_GBM_GAMSpec_CC" numFmtId="0">
      <sharedItems containsSemiMixedTypes="0" containsString="0" containsNumber="1" minValue="2987.4753320445202" maxValue="4464.4559758251198"/>
    </cacheField>
    <cacheField name="WU_GBM_GAMSpec" numFmtId="0">
      <sharedItems containsSemiMixedTypes="0" containsString="0" containsNumber="1" containsInteger="1" minValue="3017" maxValue="4579"/>
    </cacheField>
    <cacheField name="WU_RF_NoLag" numFmtId="0">
      <sharedItems containsSemiMixedTypes="0" containsString="0" containsNumber="1" containsInteger="1" minValue="3234" maxValue="4255"/>
    </cacheField>
    <cacheField name="WU_RF_WeekDay" numFmtId="0">
      <sharedItems containsSemiMixedTypes="0" containsString="0" containsNumber="1" containsInteger="1" minValue="2904" maxValue="4459"/>
    </cacheField>
    <cacheField name="WU_RF_WeekDummy" numFmtId="0">
      <sharedItems containsSemiMixedTypes="0" containsString="0" containsNumber="1" containsInteger="1" minValue="3244" maxValue="4226"/>
    </cacheField>
    <cacheField name="WU_RF_LagWeather" numFmtId="0">
      <sharedItems containsSemiMixedTypes="0" containsString="0" containsNumber="1" containsInteger="1" minValue="3232" maxValue="4054"/>
    </cacheField>
    <cacheField name="WU_RF_Lag2Weather" numFmtId="0">
      <sharedItems containsSemiMixedTypes="0" containsString="0" containsNumber="1" containsInteger="1" minValue="3163" maxValue="3858"/>
    </cacheField>
    <cacheField name="WU_RF_Lag2WeekDummy" numFmtId="0">
      <sharedItems containsSemiMixedTypes="0" containsString="0" containsNumber="1" containsInteger="1" minValue="3153" maxValue="3870"/>
    </cacheField>
    <cacheField name="WU_RF_GAMSpec_CC" numFmtId="0">
      <sharedItems containsSemiMixedTypes="0" containsString="0" containsNumber="1" minValue="2943.3731462147098" maxValue="4179.0905339782203"/>
    </cacheField>
    <cacheField name="WU_RF_GAMSpec" numFmtId="0">
      <sharedItems containsSemiMixedTypes="0" containsString="0" containsNumber="1" containsInteger="1" minValue="2939" maxValue="4289"/>
    </cacheField>
    <cacheField name="WU_GBM_Consolidated" numFmtId="0">
      <sharedItems containsSemiMixedTypes="0" containsString="0" containsNumber="1" containsInteger="1" minValue="3427" maxValue="4015"/>
    </cacheField>
    <cacheField name="WU_GBM_GAMSpec.1" numFmtId="0">
      <sharedItems containsSemiMixedTypes="0" containsString="0" containsNumber="1" containsInteger="1" minValue="2993" maxValue="4351"/>
    </cacheField>
    <cacheField name="WU_GBM_GAMSpec_Ori" numFmtId="0">
      <sharedItems containsSemiMixedTypes="0" containsString="0" containsNumber="1" containsInteger="1" minValue="2896" maxValue="4335"/>
    </cacheField>
    <cacheField name="WU_RF_Consolidated" numFmtId="0">
      <sharedItems containsSemiMixedTypes="0" containsString="0" containsNumber="1" containsInteger="1" minValue="3691" maxValue="4075"/>
    </cacheField>
    <cacheField name="WU_RF_GAMSpec.1" numFmtId="0">
      <sharedItems containsSemiMixedTypes="0" containsString="0" containsNumber="1" containsInteger="1" minValue="3211" maxValue="4191"/>
    </cacheField>
    <cacheField name="WU_RF_GAMSpec_Ori" numFmtId="0">
      <sharedItems containsSemiMixedTypes="0" containsString="0" containsNumber="1" containsInteger="1" minValue="2976" maxValue="4118"/>
    </cacheField>
    <cacheField name="WU_GAMSpec_LongTrain" numFmtId="0">
      <sharedItems containsSemiMixedTypes="0" containsString="0" containsNumber="1" containsInteger="1" minValue="2728" maxValue="4207"/>
    </cacheField>
    <cacheField name="WU_GAMSpec_ShortTrain" numFmtId="0">
      <sharedItems containsSemiMixedTypes="0" containsString="0" containsNumber="1" containsInteger="1" minValue="2610" maxValue="3782"/>
    </cacheField>
    <cacheField name="WU_GAM_LW_LongTrain" numFmtId="0">
      <sharedItems containsSemiMixedTypes="0" containsString="0" containsNumber="1" containsInteger="1" minValue="2832" maxValue="4264"/>
    </cacheField>
    <cacheField name="WU_GAM_LW_ShortTrain" numFmtId="0">
      <sharedItems containsSemiMixedTypes="0" containsString="0" containsNumber="1" containsInteger="1" minValue="2597" maxValue="3806"/>
    </cacheField>
    <cacheField name="WU_Reg.No.Lag" numFmtId="0">
      <sharedItems containsSemiMixedTypes="0" containsString="0" containsNumber="1" containsInteger="1" minValue="3041" maxValue="4491"/>
    </cacheField>
    <cacheField name="WU_Reg.Lag1" numFmtId="0">
      <sharedItems containsSemiMixedTypes="0" containsString="0" containsNumber="1" containsInteger="1" minValue="3057" maxValue="4488"/>
    </cacheField>
    <cacheField name="WU_Reg.Lag2" numFmtId="0">
      <sharedItems containsSemiMixedTypes="0" containsString="0" containsNumber="1" containsInteger="1" minValue="3073" maxValue="4495"/>
    </cacheField>
    <cacheField name="ANN_WU_Rules" numFmtId="0">
      <sharedItems containsSemiMixedTypes="0" containsString="0" containsNumber="1" minValue="1803.3229544102401" maxValue="4673.258431648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">
  <r>
    <x v="0"/>
    <x v="0"/>
    <n v="2811.61656813229"/>
    <n v="2950.6145030580401"/>
    <n v="3009.7945426596998"/>
    <n v="2953.3630211729101"/>
    <n v="2926.8187867305101"/>
    <n v="2816"/>
  </r>
  <r>
    <x v="0"/>
    <x v="1"/>
    <n v="2810.4956146786799"/>
    <n v="2946.5077452140799"/>
    <n v="2878.7752293233002"/>
    <n v="2956.2416717185702"/>
    <n v="2939.6826191372402"/>
    <n v="2824"/>
  </r>
  <r>
    <x v="0"/>
    <x v="2"/>
    <n v="2820.9013446629901"/>
    <n v="2927.97600510349"/>
    <n v="2835.8211600863501"/>
    <n v="2953.0092709014302"/>
    <n v="2936.6721324158998"/>
    <n v="2821"/>
  </r>
  <r>
    <x v="0"/>
    <x v="3"/>
    <n v="2844.1899819320201"/>
    <n v="2938.17481882313"/>
    <n v="2831.25111220284"/>
    <n v="2971.7208780718402"/>
    <n v="2954.98677830218"/>
    <n v="2822"/>
  </r>
  <r>
    <x v="0"/>
    <x v="4"/>
    <n v="2886.2197668057001"/>
    <n v="2926.8689224526202"/>
    <n v="2855.8241496475098"/>
    <n v="2967.3912383151801"/>
    <n v="2958.7688889781998"/>
    <n v="2813"/>
  </r>
  <r>
    <x v="0"/>
    <x v="5"/>
    <n v="2885.6780620555901"/>
    <n v="2930.0698963022501"/>
    <n v="2885.4589207527501"/>
    <n v="2979.9481846824901"/>
    <n v="2994.9454739257499"/>
    <n v="2807"/>
  </r>
  <r>
    <x v="0"/>
    <x v="6"/>
    <n v="2898.2747582751599"/>
    <n v="2936.5456807350201"/>
    <n v="2880.2321858799301"/>
    <n v="2994.05040205567"/>
    <n v="2982.72101439886"/>
    <n v="2862"/>
  </r>
  <r>
    <x v="0"/>
    <x v="7"/>
    <n v="2884.6860250764598"/>
    <n v="2926.96734229294"/>
    <n v="2870.2413461229498"/>
    <n v="2990.92661727418"/>
    <n v="2985.80678518781"/>
    <n v="2864"/>
  </r>
  <r>
    <x v="0"/>
    <x v="8"/>
    <n v="2889.4119501464202"/>
    <n v="2877.9400343933999"/>
    <n v="2861.6939699598802"/>
    <n v="2970.07726021183"/>
    <n v="2951.1762237356202"/>
    <n v="2846"/>
  </r>
  <r>
    <x v="0"/>
    <x v="9"/>
    <n v="2873.7099780041899"/>
    <n v="2867.5572043500802"/>
    <n v="2859.6189151645599"/>
    <n v="2948.07310370404"/>
    <n v="2921.9452544903602"/>
    <n v="2828"/>
  </r>
  <r>
    <x v="0"/>
    <x v="10"/>
    <n v="2856.4148857666701"/>
    <n v="2872.91645862829"/>
    <n v="2883.34130622764"/>
    <n v="2917.89234854496"/>
    <n v="2911.3802100796902"/>
    <n v="2810"/>
  </r>
  <r>
    <x v="0"/>
    <x v="11"/>
    <n v="2865.12690104592"/>
    <n v="2886.9572173660899"/>
    <n v="2866.2845851071202"/>
    <n v="2918.8015780661699"/>
    <n v="2911.81364918708"/>
    <n v="2803.6666666666665"/>
  </r>
  <r>
    <x v="0"/>
    <x v="12"/>
    <n v="2880.1716484458598"/>
    <n v="2874.5908241679399"/>
    <n v="2866.3735275143699"/>
    <n v="2893.9514788976599"/>
    <n v="2897.10305393726"/>
    <n v="2764.0589502361704"/>
  </r>
  <r>
    <x v="0"/>
    <x v="13"/>
    <n v="2880.63939395529"/>
    <n v="2882.0232129469"/>
    <n v="2851.2978209269399"/>
    <n v="2917.6710272412702"/>
    <n v="2912.5801626889502"/>
    <n v="2791"/>
  </r>
  <r>
    <x v="0"/>
    <x v="14"/>
    <n v="2932.6569852500402"/>
    <n v="2908.4379336175498"/>
    <n v="2901.75125072432"/>
    <n v="2956.8414193015401"/>
    <n v="2952.2841521745499"/>
    <n v="2855"/>
  </r>
  <r>
    <x v="0"/>
    <x v="15"/>
    <n v="2953.6486456686198"/>
    <n v="2925.9360654905799"/>
    <n v="2957.8286968176799"/>
    <n v="2972.2689137443799"/>
    <n v="2968.6260025963102"/>
    <n v="2868"/>
  </r>
  <r>
    <x v="0"/>
    <x v="16"/>
    <n v="2959.0205359759102"/>
    <n v="2945.13300337699"/>
    <n v="3022.366194193"/>
    <n v="2988.5846769956402"/>
    <n v="2993.61222280433"/>
    <n v="2887"/>
  </r>
  <r>
    <x v="0"/>
    <x v="17"/>
    <n v="3006.47282787122"/>
    <n v="2985.9788751942001"/>
    <n v="3047.6630403928798"/>
    <n v="3035.56821412112"/>
    <n v="3040.5327684578401"/>
    <n v="2943"/>
  </r>
  <r>
    <x v="0"/>
    <x v="18"/>
    <n v="3082.3924914801801"/>
    <n v="3048.1909221385599"/>
    <n v="3065.6267333514202"/>
    <n v="3101.0211064530399"/>
    <n v="3100.7100735854401"/>
    <n v="3010"/>
  </r>
  <r>
    <x v="0"/>
    <x v="19"/>
    <n v="3144.5644090491701"/>
    <n v="3122.8426431713501"/>
    <n v="3159.9008746995501"/>
    <n v="3170.2829916115802"/>
    <n v="3168.89838566545"/>
    <n v="3041"/>
  </r>
  <r>
    <x v="0"/>
    <x v="20"/>
    <n v="3307.7104164929401"/>
    <n v="3247.8421657636"/>
    <n v="3288.71375359082"/>
    <n v="3293.8427517396999"/>
    <n v="3300.2638051583599"/>
    <n v="3166"/>
  </r>
  <r>
    <x v="0"/>
    <x v="21"/>
    <n v="3425.5300100660402"/>
    <n v="3340.1545401992998"/>
    <n v="3298.0192608508"/>
    <n v="3395.7577320072501"/>
    <n v="3382.9568544773501"/>
    <n v="3290"/>
  </r>
  <r>
    <x v="0"/>
    <x v="22"/>
    <n v="3578.3845165430598"/>
    <n v="3461.0296317945299"/>
    <n v="3358.27779947402"/>
    <n v="3534.0739091291898"/>
    <n v="3518.7675691035802"/>
    <n v="3415"/>
  </r>
  <r>
    <x v="0"/>
    <x v="23"/>
    <n v="3702.4883286333502"/>
    <n v="3618.4816982390498"/>
    <n v="3595.3158243800999"/>
    <n v="3661.2396952992399"/>
    <n v="3678.3866061676899"/>
    <n v="3532"/>
  </r>
  <r>
    <x v="0"/>
    <x v="24"/>
    <n v="4414.9836879247796"/>
    <n v="4069.8696302725102"/>
    <n v="3902.6666951826001"/>
    <n v="4293.1106301883501"/>
    <n v="4327.8461841746002"/>
    <n v="4054"/>
  </r>
  <r>
    <x v="0"/>
    <x v="25"/>
    <n v="4568.0238407217603"/>
    <n v="4211.1211693158702"/>
    <n v="4380.12187356705"/>
    <n v="4472.6531580574501"/>
    <n v="4484.3514907755698"/>
    <n v="4179"/>
  </r>
  <r>
    <x v="0"/>
    <x v="26"/>
    <n v="4588.2120433285399"/>
    <n v="4273.3648965718903"/>
    <n v="4498.6288223053898"/>
    <n v="4508.2105636104397"/>
    <n v="4492.9804137645897"/>
    <n v="4181"/>
  </r>
  <r>
    <x v="0"/>
    <x v="27"/>
    <n v="4623.2509364473299"/>
    <n v="4342.1060543021003"/>
    <n v="4542.73361514319"/>
    <n v="4549.4837845205602"/>
    <n v="4540.8277624109896"/>
    <n v="4156"/>
  </r>
  <r>
    <x v="0"/>
    <x v="28"/>
    <n v="4764.2985119721097"/>
    <n v="4519.6238612242496"/>
    <n v="4714.7635635407096"/>
    <n v="4693.9523521375704"/>
    <n v="4692.4338314334"/>
    <n v="4128"/>
  </r>
  <r>
    <x v="0"/>
    <x v="29"/>
    <n v="4815.7187987500802"/>
    <n v="4611.0723415528801"/>
    <n v="4761.1953923867504"/>
    <n v="4745.2796250016099"/>
    <n v="4746.6631559584303"/>
    <n v="4224"/>
  </r>
  <r>
    <x v="0"/>
    <x v="30"/>
    <n v="4834.5897007213498"/>
    <n v="4614.66517011824"/>
    <n v="4694.2285065999504"/>
    <n v="4767.6415490732297"/>
    <n v="4750.80730499521"/>
    <n v="4234"/>
  </r>
  <r>
    <x v="0"/>
    <x v="31"/>
    <n v="4858.3578002369604"/>
    <n v="4612.4935231821801"/>
    <n v="4647.3676174029897"/>
    <n v="4766.7724899383102"/>
    <n v="4773.3439476601397"/>
    <n v="4254"/>
  </r>
  <r>
    <x v="0"/>
    <x v="32"/>
    <n v="4831.1100817547804"/>
    <n v="4642.8537694125498"/>
    <n v="4685.53758415019"/>
    <n v="4685.8498820165696"/>
    <n v="4739.9272450323497"/>
    <n v="4097"/>
  </r>
  <r>
    <x v="0"/>
    <x v="33"/>
    <n v="4858.1566859842096"/>
    <n v="4628.2155805847497"/>
    <n v="4697.8847069982503"/>
    <n v="4771.0047094379597"/>
    <n v="4774.3890712934699"/>
    <n v="4205"/>
  </r>
  <r>
    <x v="0"/>
    <x v="34"/>
    <n v="4715.8154824946296"/>
    <n v="4551.4100518126497"/>
    <n v="4700.2591193131602"/>
    <n v="4635.0488826418296"/>
    <n v="4640.0222518473302"/>
    <n v="4233"/>
  </r>
  <r>
    <x v="0"/>
    <x v="35"/>
    <n v="4652.0875126477404"/>
    <n v="4491.5949592062598"/>
    <n v="4649.5425282440601"/>
    <n v="4574.8790320676299"/>
    <n v="4581.2887774610199"/>
    <n v="4239"/>
  </r>
  <r>
    <x v="0"/>
    <x v="36"/>
    <n v="4641.2729908374404"/>
    <n v="4508.5796829438304"/>
    <n v="4595.3728597846202"/>
    <n v="4599.3059068172297"/>
    <n v="4605.711808258"/>
    <n v="4379"/>
  </r>
  <r>
    <x v="0"/>
    <x v="37"/>
    <n v="4591.8304410292903"/>
    <n v="4482.1020573923997"/>
    <n v="4620.5760747915501"/>
    <n v="4571.1080317384703"/>
    <n v="4577.4713265649098"/>
    <n v="4370"/>
  </r>
  <r>
    <x v="0"/>
    <x v="38"/>
    <n v="4526.61914990883"/>
    <n v="4425.3728804849598"/>
    <n v="4500.7837193109799"/>
    <n v="4500.40752799455"/>
    <n v="4506.8146405235302"/>
    <n v="4224"/>
  </r>
  <r>
    <x v="0"/>
    <x v="39"/>
    <n v="4496.0233075743499"/>
    <n v="4393.9678954297096"/>
    <n v="4390.9747035464397"/>
    <n v="4498.9556194511197"/>
    <n v="4505.5999057571898"/>
    <n v="4147"/>
  </r>
  <r>
    <x v="0"/>
    <x v="40"/>
    <n v="4307.9452617860397"/>
    <n v="4192.8553311321602"/>
    <n v="4266.8574453982001"/>
    <n v="4345.8125117466298"/>
    <n v="4344.1513034881"/>
    <n v="3951"/>
  </r>
  <r>
    <x v="0"/>
    <x v="41"/>
    <n v="4243.5917956298599"/>
    <n v="4157.0740743161195"/>
    <n v="4254.5660221990202"/>
    <n v="4270.2775984294603"/>
    <n v="4277.5972373447503"/>
    <n v="3911"/>
  </r>
  <r>
    <x v="0"/>
    <x v="42"/>
    <n v="4202.1064225049404"/>
    <n v="4114.0045930492597"/>
    <n v="4280.7973099067103"/>
    <n v="4236.1596806070002"/>
    <n v="4244.0345566948799"/>
    <n v="3882"/>
  </r>
  <r>
    <x v="0"/>
    <x v="43"/>
    <n v="4121.3658275326297"/>
    <n v="4076.3801747715702"/>
    <n v="4286.69363127837"/>
    <n v="4153.2553736943"/>
    <n v="4159.9059559706502"/>
    <n v="3953"/>
  </r>
  <r>
    <x v="0"/>
    <x v="44"/>
    <n v="3998.6234903964701"/>
    <n v="3984.4316138127101"/>
    <n v="4119.7166673009797"/>
    <n v="4093.5096971099802"/>
    <n v="4101.8570432751603"/>
    <n v="4066"/>
  </r>
  <r>
    <x v="0"/>
    <x v="45"/>
    <n v="3970.29348422471"/>
    <n v="3975.6722941893599"/>
    <n v="4127.1923689901696"/>
    <n v="4069.2140744664098"/>
    <n v="4076.4866139502201"/>
    <n v="4011"/>
  </r>
  <r>
    <x v="0"/>
    <x v="46"/>
    <n v="3951.5572229962399"/>
    <n v="3946.4206221035001"/>
    <n v="4109.0406178206904"/>
    <n v="4031.9469497345899"/>
    <n v="4038.9416228708101"/>
    <n v="3939"/>
  </r>
  <r>
    <x v="0"/>
    <x v="47"/>
    <n v="3924.1754859112598"/>
    <n v="3925.6176375175"/>
    <n v="4011.8474495567102"/>
    <n v="4000.90183831492"/>
    <n v="4007.70158511314"/>
    <n v="3884"/>
  </r>
  <r>
    <x v="0"/>
    <x v="48"/>
    <n v="3852.7871301578598"/>
    <n v="3845.88867952791"/>
    <n v="3903.3693145832899"/>
    <n v="3858.76968262331"/>
    <n v="3865.1986764530802"/>
    <n v="3637"/>
  </r>
  <r>
    <x v="0"/>
    <x v="49"/>
    <n v="3825.8757341609398"/>
    <n v="3830.2191753715001"/>
    <n v="3760.3919412258401"/>
    <n v="3848.12898947125"/>
    <n v="3855.2003424746199"/>
    <n v="3626"/>
  </r>
  <r>
    <x v="0"/>
    <x v="50"/>
    <n v="3804.11080973244"/>
    <n v="3809.4741018403502"/>
    <n v="3771.6690899699001"/>
    <n v="3843.0564162637302"/>
    <n v="3850.1470994577699"/>
    <n v="3670"/>
  </r>
  <r>
    <x v="0"/>
    <x v="51"/>
    <n v="3826.8643449369301"/>
    <n v="3807.5828557822701"/>
    <n v="3793.78440996376"/>
    <n v="3845.3546161151899"/>
    <n v="3865.0749778140898"/>
    <n v="3752"/>
  </r>
  <r>
    <x v="0"/>
    <x v="52"/>
    <n v="3915.6481902594701"/>
    <n v="3779.1552501129299"/>
    <n v="3747.6273584251398"/>
    <n v="3922.77330438739"/>
    <n v="3934.6888059523299"/>
    <n v="3838"/>
  </r>
  <r>
    <x v="0"/>
    <x v="53"/>
    <n v="3927.5454559764999"/>
    <n v="3788.1777668717"/>
    <n v="3857.5686604371599"/>
    <n v="3920.6368254469699"/>
    <n v="3944.8503583983502"/>
    <n v="3888"/>
  </r>
  <r>
    <x v="0"/>
    <x v="54"/>
    <n v="3921.1523254550898"/>
    <n v="3806.4211781078502"/>
    <n v="3902.5754644932199"/>
    <n v="3935.8315233032799"/>
    <n v="3943.4222163224799"/>
    <n v="3869"/>
  </r>
  <r>
    <x v="0"/>
    <x v="55"/>
    <n v="3919.4626205442"/>
    <n v="3847.8354472312099"/>
    <n v="3917.0521452500702"/>
    <n v="3943.1067764376398"/>
    <n v="3964.9795962036801"/>
    <n v="3853"/>
  </r>
  <r>
    <x v="0"/>
    <x v="56"/>
    <n v="4062.4652906451402"/>
    <n v="4006.7023513100999"/>
    <n v="3917.93868435269"/>
    <n v="4165.3421551852398"/>
    <n v="4188.5876801408103"/>
    <n v="3771"/>
  </r>
  <r>
    <x v="0"/>
    <x v="57"/>
    <n v="4036.3279568646199"/>
    <n v="3964.38526892967"/>
    <n v="3983.1569358994702"/>
    <n v="4137.2577001507898"/>
    <n v="4144.6930691585003"/>
    <n v="3725"/>
  </r>
  <r>
    <x v="0"/>
    <x v="58"/>
    <n v="4050.8186052881902"/>
    <n v="3948.07252136944"/>
    <n v="3935.1427166926701"/>
    <n v="4131.32825318094"/>
    <n v="4141.1303683666501"/>
    <n v="3718"/>
  </r>
  <r>
    <x v="0"/>
    <x v="59"/>
    <n v="3974.3159416522299"/>
    <n v="3922.1203516933401"/>
    <n v="3999.5483259067601"/>
    <n v="4061.2887592505799"/>
    <n v="4070.4378653668"/>
    <n v="3743"/>
  </r>
  <r>
    <x v="0"/>
    <x v="60"/>
    <n v="4046.6182938878601"/>
    <n v="3981.8460339139401"/>
    <n v="4040.1184831984201"/>
    <n v="4146.9693375931802"/>
    <n v="4192.4511696375903"/>
    <n v="3799"/>
  </r>
  <r>
    <x v="0"/>
    <x v="61"/>
    <n v="4015.7308643842098"/>
    <n v="3984.1523273033899"/>
    <n v="4075.7062490322201"/>
    <n v="4128.82447965745"/>
    <n v="4128.06087249354"/>
    <n v="3804"/>
  </r>
  <r>
    <x v="0"/>
    <x v="62"/>
    <n v="4017.5643534056699"/>
    <n v="4009.94737797271"/>
    <n v="4061.8514877652301"/>
    <n v="4143.6019501812198"/>
    <n v="4148.2793119178205"/>
    <n v="3801"/>
  </r>
  <r>
    <x v="0"/>
    <x v="63"/>
    <n v="4046.2798727539098"/>
    <n v="4029.2931143309802"/>
    <n v="4007.9451024345899"/>
    <n v="4172.3121184076599"/>
    <n v="4141.5565604810399"/>
    <n v="3765"/>
  </r>
  <r>
    <x v="0"/>
    <x v="64"/>
    <n v="4113.0322499805197"/>
    <n v="4068.87413018292"/>
    <n v="4075.5433381338898"/>
    <n v="4179.5338264532802"/>
    <n v="4188.5280283878001"/>
    <n v="3872"/>
  </r>
  <r>
    <x v="0"/>
    <x v="65"/>
    <n v="4086.7985953900902"/>
    <n v="4055.0184166447102"/>
    <n v="4113.2206647010698"/>
    <n v="4140.2839155538004"/>
    <n v="4167.6708739100904"/>
    <n v="3868"/>
  </r>
  <r>
    <x v="0"/>
    <x v="66"/>
    <n v="4057.0108198425301"/>
    <n v="4031.6671874383701"/>
    <n v="4097.8165147484997"/>
    <n v="4108.8727778768998"/>
    <n v="4132.3505364162502"/>
    <n v="3902"/>
  </r>
  <r>
    <x v="0"/>
    <x v="67"/>
    <n v="4089.0666299068998"/>
    <n v="4046.5789699812399"/>
    <n v="4109.7385618171402"/>
    <n v="4160.2126330882902"/>
    <n v="4169.31093089348"/>
    <n v="3869"/>
  </r>
  <r>
    <x v="0"/>
    <x v="68"/>
    <n v="4120.9427530412004"/>
    <n v="4084.1693667023301"/>
    <n v="4105.1872441339701"/>
    <n v="4212.2358093551202"/>
    <n v="4226.5234465356498"/>
    <n v="3859"/>
  </r>
  <r>
    <x v="0"/>
    <x v="69"/>
    <n v="4142.0947912738902"/>
    <n v="4099.2364333394999"/>
    <n v="4194.7722368231198"/>
    <n v="4239.0721789982299"/>
    <n v="4247.6297700796304"/>
    <n v="3920"/>
  </r>
  <r>
    <x v="0"/>
    <x v="70"/>
    <n v="4158.6817608958299"/>
    <n v="4106.4176892816004"/>
    <n v="4314.0060262054903"/>
    <n v="4253.0108429635602"/>
    <n v="4261.9598139026803"/>
    <n v="3922"/>
  </r>
  <r>
    <x v="0"/>
    <x v="71"/>
    <n v="4082.6522988186298"/>
    <n v="4090.72093448241"/>
    <n v="4311.5253478680997"/>
    <n v="4173.0484389863104"/>
    <n v="4181.7397052954402"/>
    <n v="3844"/>
  </r>
  <r>
    <x v="0"/>
    <x v="72"/>
    <n v="4256.5919753767203"/>
    <n v="4129.2419139807198"/>
    <n v="4051.4365853704498"/>
    <n v="4284.64338223702"/>
    <n v="4294.0576350712599"/>
    <n v="3808"/>
  </r>
  <r>
    <x v="0"/>
    <x v="73"/>
    <n v="4296.3875961122003"/>
    <n v="4269.6598444936899"/>
    <n v="4376.0562089894502"/>
    <n v="4307.4679531100501"/>
    <n v="4316.4041654734101"/>
    <n v="3981"/>
  </r>
  <r>
    <x v="0"/>
    <x v="74"/>
    <n v="4335.1976437277199"/>
    <n v="4397.0239231800297"/>
    <n v="4428.3330830643499"/>
    <n v="4364.4351032775803"/>
    <n v="4373.9487609471798"/>
    <n v="4137"/>
  </r>
  <r>
    <x v="0"/>
    <x v="75"/>
    <n v="4381.4254620033698"/>
    <n v="4419.82703563824"/>
    <n v="4319.6593103410196"/>
    <n v="4412.98701217096"/>
    <n v="4427.4036076109696"/>
    <n v="4225"/>
  </r>
  <r>
    <x v="0"/>
    <x v="76"/>
    <n v="4538.18062695767"/>
    <n v="4368.6339904986598"/>
    <n v="4159.9087382356602"/>
    <n v="4591.7610792512196"/>
    <n v="4574.4538469150102"/>
    <n v="4059"/>
  </r>
  <r>
    <x v="0"/>
    <x v="77"/>
    <n v="4476.2501350458197"/>
    <n v="4311.5293874905301"/>
    <n v="4363.7131871618703"/>
    <n v="4505.1663260000296"/>
    <n v="4511.8459107729104"/>
    <n v="4039"/>
  </r>
  <r>
    <x v="0"/>
    <x v="78"/>
    <n v="4410.3520612780503"/>
    <n v="4214.4232775480796"/>
    <n v="4315.6559473384305"/>
    <n v="4425.9134789855298"/>
    <n v="4432.0653429241602"/>
    <n v="3997"/>
  </r>
  <r>
    <x v="0"/>
    <x v="79"/>
    <n v="4244.4160316117104"/>
    <n v="4076.6741498323399"/>
    <n v="4186.7935894679204"/>
    <n v="4285.1279605310401"/>
    <n v="4267.1692435205996"/>
    <n v="3908"/>
  </r>
  <r>
    <x v="0"/>
    <x v="80"/>
    <n v="3924.0002301095101"/>
    <n v="3787.6026495973201"/>
    <n v="3856.9244582500801"/>
    <n v="3974.8216873787801"/>
    <n v="3973.4955191198201"/>
    <n v="3699"/>
  </r>
  <r>
    <x v="0"/>
    <x v="81"/>
    <n v="3800.52156191515"/>
    <n v="3650.3435872107498"/>
    <n v="3759.7994556148001"/>
    <n v="3854.5042785451101"/>
    <n v="3853.3048670517501"/>
    <n v="3548"/>
  </r>
  <r>
    <x v="0"/>
    <x v="82"/>
    <n v="3665.8105685866999"/>
    <n v="3577.3422254941702"/>
    <n v="3748.5693115897202"/>
    <n v="3739.86386060422"/>
    <n v="3745.9395704947001"/>
    <n v="3432"/>
  </r>
  <r>
    <x v="0"/>
    <x v="83"/>
    <n v="3635.9542176427599"/>
    <n v="3497.2399935806402"/>
    <n v="3600.51583699209"/>
    <n v="3708.0298773658501"/>
    <n v="3716.24162560888"/>
    <n v="3321"/>
  </r>
  <r>
    <x v="0"/>
    <x v="84"/>
    <n v="3286.09765702095"/>
    <n v="3147.2182688740099"/>
    <n v="3392.6757681005101"/>
    <n v="3287.7639706742898"/>
    <n v="3296.6953896590298"/>
    <n v="3041"/>
  </r>
  <r>
    <x v="0"/>
    <x v="85"/>
    <n v="3277.4029140073299"/>
    <n v="3101.7606703750698"/>
    <n v="3242.7900241234402"/>
    <n v="3283.8113764296299"/>
    <n v="3292.7792458420599"/>
    <n v="2962"/>
  </r>
  <r>
    <x v="0"/>
    <x v="86"/>
    <n v="3033.36176925777"/>
    <n v="3003.62743287885"/>
    <n v="3243.4008061081199"/>
    <n v="3074.3156661810299"/>
    <n v="3081.0717830806302"/>
    <n v="2902"/>
  </r>
  <r>
    <x v="0"/>
    <x v="87"/>
    <n v="2998.26979032692"/>
    <n v="2971.9750755248401"/>
    <n v="3154.15695418206"/>
    <n v="3042.5892795392701"/>
    <n v="3047.6005446730401"/>
    <n v="2879"/>
  </r>
  <r>
    <x v="0"/>
    <x v="88"/>
    <n v="3101.5370382129199"/>
    <n v="3127.3841609711399"/>
    <n v="3156.5749740516699"/>
    <n v="3217.8068853382902"/>
    <n v="3222.81529490614"/>
    <n v="3107"/>
  </r>
  <r>
    <x v="0"/>
    <x v="89"/>
    <n v="3205.91619283625"/>
    <n v="3180.9563566921402"/>
    <n v="3297.8836842045498"/>
    <n v="3308.3793655881"/>
    <n v="3313.8772745414699"/>
    <n v="3073"/>
  </r>
  <r>
    <x v="0"/>
    <x v="90"/>
    <n v="3106.1634080615099"/>
    <n v="3104.03238828245"/>
    <n v="3333.4398059199898"/>
    <n v="3179.2569337831701"/>
    <n v="3177.67047443613"/>
    <n v="3031"/>
  </r>
  <r>
    <x v="0"/>
    <x v="91"/>
    <n v="3065.8100309082702"/>
    <n v="3036.3242130386402"/>
    <n v="3150.2941175137698"/>
    <n v="3112.8553841370099"/>
    <n v="3111.6695220168599"/>
    <n v="3000"/>
  </r>
  <r>
    <x v="0"/>
    <x v="92"/>
    <n v="3013.37665757377"/>
    <n v="2924.8795203722698"/>
    <n v="2999.3472369690298"/>
    <n v="3003.1529888100299"/>
    <n v="3000.7659473106301"/>
    <n v="2863"/>
  </r>
  <r>
    <x v="0"/>
    <x v="93"/>
    <n v="3001.3574994875898"/>
    <n v="2896.38121932066"/>
    <n v="2967.49533526908"/>
    <n v="3010.2938218552499"/>
    <n v="3012.6923137776598"/>
    <n v="2857"/>
  </r>
  <r>
    <x v="0"/>
    <x v="94"/>
    <n v="3007.9840329738499"/>
    <n v="2891.1240962602401"/>
    <n v="2988.2022216860901"/>
    <n v="3038.46084288663"/>
    <n v="3043.0305332070502"/>
    <n v="2914"/>
  </r>
  <r>
    <x v="0"/>
    <x v="95"/>
    <n v="3016.9094745770599"/>
    <n v="2879.7357612688402"/>
    <n v="2997.0532768688399"/>
    <n v="3041.1891152108501"/>
    <n v="3045.8281214415401"/>
    <n v="2907"/>
  </r>
  <r>
    <x v="1"/>
    <x v="0"/>
    <n v="2863.6202341741"/>
    <n v="2838.2853703148899"/>
    <n v="2968.7587999719599"/>
    <n v="2983.9456337553902"/>
    <n v="2947.6591856011901"/>
    <n v="2816"/>
  </r>
  <r>
    <x v="1"/>
    <x v="1"/>
    <n v="2862.0372149199502"/>
    <n v="2832.58397121398"/>
    <n v="2984.8928630741102"/>
    <n v="2987.05878218916"/>
    <n v="2952.6854615581201"/>
    <n v="2824"/>
  </r>
  <r>
    <x v="1"/>
    <x v="2"/>
    <n v="2872.2397873517102"/>
    <n v="2813.4272557937502"/>
    <n v="2944.5693978385302"/>
    <n v="2983.6169050306098"/>
    <n v="2944.2076786370199"/>
    <n v="2821"/>
  </r>
  <r>
    <x v="1"/>
    <x v="3"/>
    <n v="2907.7609959512802"/>
    <n v="2822.6321850468898"/>
    <n v="2934.7896397311001"/>
    <n v="3002.1500270956099"/>
    <n v="2962.9592551660598"/>
    <n v="2822"/>
  </r>
  <r>
    <x v="1"/>
    <x v="4"/>
    <n v="2881.0477752419501"/>
    <n v="2810.7274854648099"/>
    <n v="2858.4393703267901"/>
    <n v="2997.02568664093"/>
    <n v="2960.7618936774202"/>
    <n v="2813"/>
  </r>
  <r>
    <x v="1"/>
    <x v="5"/>
    <n v="2874.9385282109101"/>
    <n v="2813.1582092215699"/>
    <n v="2839.5963195731902"/>
    <n v="3009.2351501742401"/>
    <n v="3025.9197279382001"/>
    <n v="2807"/>
  </r>
  <r>
    <x v="1"/>
    <x v="6"/>
    <n v="2908.7296756610699"/>
    <n v="2818.6198648643299"/>
    <n v="2862.8745782742299"/>
    <n v="3023.3121342291101"/>
    <n v="2961.2490264908001"/>
    <n v="2862"/>
  </r>
  <r>
    <x v="1"/>
    <x v="7"/>
    <n v="2908.0626420362901"/>
    <n v="2808.5297210771901"/>
    <n v="2851.47370125305"/>
    <n v="3020.3280630826398"/>
    <n v="2957.0356835468401"/>
    <n v="2864"/>
  </r>
  <r>
    <x v="1"/>
    <x v="8"/>
    <n v="2915.2251859206899"/>
    <n v="2757.84316318111"/>
    <n v="2875.6215020178101"/>
    <n v="2993.1448231480699"/>
    <n v="2948.8038483740502"/>
    <n v="2846"/>
  </r>
  <r>
    <x v="1"/>
    <x v="9"/>
    <n v="2888.6537225111902"/>
    <n v="2747.4806035251599"/>
    <n v="2873.0444127965202"/>
    <n v="2978.5353578317399"/>
    <n v="2925.3093008577698"/>
    <n v="2828"/>
  </r>
  <r>
    <x v="1"/>
    <x v="10"/>
    <n v="2872.0892322787199"/>
    <n v="2753.1620597215801"/>
    <n v="2914.9159888884101"/>
    <n v="2925.0886019924801"/>
    <n v="2917.95598678638"/>
    <n v="2810"/>
  </r>
  <r>
    <x v="1"/>
    <x v="11"/>
    <n v="2862.45367812213"/>
    <n v="2767.4131021237899"/>
    <n v="2900.5133450626499"/>
    <n v="2928.1751386114402"/>
    <n v="2921.4519093202998"/>
    <n v="2803.6666666666665"/>
  </r>
  <r>
    <x v="1"/>
    <x v="12"/>
    <n v="2879.0994006671099"/>
    <n v="2755.4069821544799"/>
    <n v="2844.5560474373901"/>
    <n v="2910.68383440859"/>
    <n v="2912.7561978597601"/>
    <n v="2764.0589502361704"/>
  </r>
  <r>
    <x v="1"/>
    <x v="13"/>
    <n v="2906.8290986096699"/>
    <n v="2762.1852687661099"/>
    <n v="2810.9353707503801"/>
    <n v="2925.0216101055998"/>
    <n v="2918.0176012421998"/>
    <n v="2791"/>
  </r>
  <r>
    <x v="1"/>
    <x v="14"/>
    <n v="2952.0739776004998"/>
    <n v="2787.5215195378701"/>
    <n v="2849.26085399469"/>
    <n v="2963.0450293498998"/>
    <n v="2957.9104336220598"/>
    <n v="2855"/>
  </r>
  <r>
    <x v="1"/>
    <x v="15"/>
    <n v="2965.6608476568099"/>
    <n v="2804.7937664634901"/>
    <n v="2912.0988209000402"/>
    <n v="2978.83411717031"/>
    <n v="2981.8610926162301"/>
    <n v="2868"/>
  </r>
  <r>
    <x v="1"/>
    <x v="16"/>
    <n v="2987.3471819424099"/>
    <n v="2826.3068259633201"/>
    <n v="2932.8064732072698"/>
    <n v="3000.6123799993402"/>
    <n v="3011.3243413544201"/>
    <n v="2887"/>
  </r>
  <r>
    <x v="1"/>
    <x v="17"/>
    <n v="3024.9849063267502"/>
    <n v="2866.3412787851298"/>
    <n v="3082.3107319087198"/>
    <n v="3046.7946923701202"/>
    <n v="3056.1440153234098"/>
    <n v="2943"/>
  </r>
  <r>
    <x v="1"/>
    <x v="18"/>
    <n v="3091.5458623734899"/>
    <n v="2927.7504146338702"/>
    <n v="3148.5220030674"/>
    <n v="3111.5920020344802"/>
    <n v="3114.6192496016902"/>
    <n v="3010"/>
  </r>
  <r>
    <x v="1"/>
    <x v="19"/>
    <n v="3149.7861435179798"/>
    <n v="3002.0515349625698"/>
    <n v="3267.6856180275499"/>
    <n v="3181.4702110308999"/>
    <n v="3179.48140529797"/>
    <n v="3041"/>
  </r>
  <r>
    <x v="1"/>
    <x v="20"/>
    <n v="3252.8767792359999"/>
    <n v="3130.20418947802"/>
    <n v="3252.4534926116298"/>
    <n v="3328.1580964315299"/>
    <n v="3340.8815856466699"/>
    <n v="3166"/>
  </r>
  <r>
    <x v="1"/>
    <x v="21"/>
    <n v="3358.33691497163"/>
    <n v="3221.55207922922"/>
    <n v="3405.2622326618698"/>
    <n v="3430.4228720380002"/>
    <n v="3401.90040339999"/>
    <n v="3290"/>
  </r>
  <r>
    <x v="1"/>
    <x v="22"/>
    <n v="3518.2947861365201"/>
    <n v="3340.6846247406702"/>
    <n v="3517.8322582083701"/>
    <n v="3567.5516588247401"/>
    <n v="3534.5117766670301"/>
    <n v="3415"/>
  </r>
  <r>
    <x v="1"/>
    <x v="23"/>
    <n v="3649.1495220346701"/>
    <n v="3496.84013434905"/>
    <n v="3633.68281028414"/>
    <n v="3667.0404002978798"/>
    <n v="3716.2327865265802"/>
    <n v="3532"/>
  </r>
  <r>
    <x v="1"/>
    <x v="24"/>
    <n v="4277.7705528012202"/>
    <n v="3937.7000244262699"/>
    <n v="3785.4791491207502"/>
    <n v="4288.7074664608099"/>
    <n v="4356.6800416853303"/>
    <n v="4054"/>
  </r>
  <r>
    <x v="1"/>
    <x v="25"/>
    <n v="4476.6102995401998"/>
    <n v="4077.9474878494302"/>
    <n v="4085.0329611819002"/>
    <n v="4494.7318510696996"/>
    <n v="4511.86352471387"/>
    <n v="4179"/>
  </r>
  <r>
    <x v="1"/>
    <x v="26"/>
    <n v="4539.7104420680598"/>
    <n v="4141.3207606636097"/>
    <n v="4521.7062895636"/>
    <n v="4531.0108515882503"/>
    <n v="4488.4342629513103"/>
    <n v="4181"/>
  </r>
  <r>
    <x v="1"/>
    <x v="27"/>
    <n v="4584.3539595273896"/>
    <n v="4211.5364440478997"/>
    <n v="4611.2863529155502"/>
    <n v="4572.3546032779996"/>
    <n v="4537.8114224787596"/>
    <n v="4156"/>
  </r>
  <r>
    <x v="1"/>
    <x v="28"/>
    <n v="4775.71988818517"/>
    <n v="4392.2431211903004"/>
    <n v="4729.3865376890099"/>
    <n v="4689.4804256113803"/>
    <n v="4694.4729958595999"/>
    <n v="4128"/>
  </r>
  <r>
    <x v="1"/>
    <x v="29"/>
    <n v="4813.8427806314803"/>
    <n v="4483.8128751386903"/>
    <n v="4736.3850396538701"/>
    <n v="4747.47213083511"/>
    <n v="4779.5150518600703"/>
    <n v="4224"/>
  </r>
  <r>
    <x v="1"/>
    <x v="30"/>
    <n v="4806.4524550854803"/>
    <n v="4487.5942061749702"/>
    <n v="4802.99799648312"/>
    <n v="4788.4607789051797"/>
    <n v="4781.5467763350798"/>
    <n v="4234"/>
  </r>
  <r>
    <x v="1"/>
    <x v="31"/>
    <n v="4833.8809235810604"/>
    <n v="4484.8028568202799"/>
    <n v="4717.0116404373402"/>
    <n v="4786.5865010124498"/>
    <n v="4797.8373832071302"/>
    <n v="4254"/>
  </r>
  <r>
    <x v="1"/>
    <x v="32"/>
    <n v="4795.3700472632199"/>
    <n v="4521.2306414067998"/>
    <n v="4677.6761117649303"/>
    <n v="4816.1133304968198"/>
    <n v="4782.7235986065098"/>
    <n v="4097"/>
  </r>
  <r>
    <x v="1"/>
    <x v="33"/>
    <n v="4821.4193500751799"/>
    <n v="4505.0331763456597"/>
    <n v="4687.8340217984796"/>
    <n v="4771.3362916200003"/>
    <n v="4784.75655324337"/>
    <n v="4205"/>
  </r>
  <r>
    <x v="1"/>
    <x v="34"/>
    <n v="4688.3561499162197"/>
    <n v="4431.0246169666498"/>
    <n v="4637.8640812207896"/>
    <n v="4641.0583180705198"/>
    <n v="4650.7810635731903"/>
    <n v="4233"/>
  </r>
  <r>
    <x v="1"/>
    <x v="35"/>
    <n v="4605.0050581695004"/>
    <n v="4370.0360130773797"/>
    <n v="4601.417639153"/>
    <n v="4660.9832720692102"/>
    <n v="4596.4505616693205"/>
    <n v="4239"/>
  </r>
  <r>
    <x v="1"/>
    <x v="36"/>
    <n v="4569.79267969993"/>
    <n v="4388.8742448575304"/>
    <n v="4534.3328430844203"/>
    <n v="4623.2157656420604"/>
    <n v="4635.2568495656596"/>
    <n v="4379"/>
  </r>
  <r>
    <x v="1"/>
    <x v="37"/>
    <n v="4526.2782262788596"/>
    <n v="4361.5228245260496"/>
    <n v="4479.1193786865897"/>
    <n v="4595.9575049425503"/>
    <n v="4607.71808061097"/>
    <n v="4370"/>
  </r>
  <r>
    <x v="1"/>
    <x v="38"/>
    <n v="4476.4212808559396"/>
    <n v="4305.5410283564697"/>
    <n v="4573.2047866243101"/>
    <n v="4527.1580672821601"/>
    <n v="4535.8558656568503"/>
    <n v="4224"/>
  </r>
  <r>
    <x v="1"/>
    <x v="39"/>
    <n v="4460.9658579187499"/>
    <n v="4272.1736285841998"/>
    <n v="4502.2692209527004"/>
    <n v="4524.7043408535001"/>
    <n v="4535.9882189362797"/>
    <n v="4147"/>
  </r>
  <r>
    <x v="1"/>
    <x v="40"/>
    <n v="4247.2144575661196"/>
    <n v="4072.9152165546302"/>
    <n v="4288.6756178340602"/>
    <n v="4362.5487811720895"/>
    <n v="4368.4157309331003"/>
    <n v="3951"/>
  </r>
  <r>
    <x v="1"/>
    <x v="41"/>
    <n v="4167.90017395211"/>
    <n v="4037.8294163610699"/>
    <n v="4229.9622338918198"/>
    <n v="4298.67197472925"/>
    <n v="4310.6036123964304"/>
    <n v="3911"/>
  </r>
  <r>
    <x v="1"/>
    <x v="42"/>
    <n v="4150.1762567995202"/>
    <n v="3995.3808548566199"/>
    <n v="4239.7958298649401"/>
    <n v="4264.5111340377198"/>
    <n v="4277.1859983672703"/>
    <n v="3882"/>
  </r>
  <r>
    <x v="1"/>
    <x v="43"/>
    <n v="4051.0208266036998"/>
    <n v="3958.9164157770902"/>
    <n v="4223.9666162597696"/>
    <n v="4183.1237291671296"/>
    <n v="4194.3141620618599"/>
    <n v="3953"/>
  </r>
  <r>
    <x v="1"/>
    <x v="44"/>
    <n v="3941.0098292293101"/>
    <n v="3867.19829487982"/>
    <n v="4121.0852655026601"/>
    <n v="4124.51192176922"/>
    <n v="4137.9418462069898"/>
    <n v="4066"/>
  </r>
  <r>
    <x v="1"/>
    <x v="45"/>
    <n v="3939.4563026004998"/>
    <n v="3857.5789037458699"/>
    <n v="3975.0754538232"/>
    <n v="4099.9416533759104"/>
    <n v="4112.3137763243403"/>
    <n v="4011"/>
  </r>
  <r>
    <x v="1"/>
    <x v="46"/>
    <n v="3903.7303065134101"/>
    <n v="3828.82090565411"/>
    <n v="4020.1278484549298"/>
    <n v="4064.6956316603901"/>
    <n v="4076.8719750562"/>
    <n v="3939"/>
  </r>
  <r>
    <x v="1"/>
    <x v="47"/>
    <n v="3882.0596136034301"/>
    <n v="3808.2171727969098"/>
    <n v="4035.3016558017498"/>
    <n v="4034.0662391400801"/>
    <n v="4046.0646668141599"/>
    <n v="3884"/>
  </r>
  <r>
    <x v="1"/>
    <x v="48"/>
    <n v="3810.23963732417"/>
    <n v="3731.5179666552299"/>
    <n v="3997.7495963070401"/>
    <n v="3892.3011102119199"/>
    <n v="3903.5433398699302"/>
    <n v="3637"/>
  </r>
  <r>
    <x v="1"/>
    <x v="49"/>
    <n v="3786.31271613335"/>
    <n v="3714.5058928555"/>
    <n v="3852.5311170764498"/>
    <n v="3880.5943178349598"/>
    <n v="3892.5086991410199"/>
    <n v="3626"/>
  </r>
  <r>
    <x v="1"/>
    <x v="50"/>
    <n v="3752.4900871046698"/>
    <n v="3692.3464646081102"/>
    <n v="3746.1095268413301"/>
    <n v="3874.4632880828899"/>
    <n v="3886.5007035768899"/>
    <n v="3670"/>
  </r>
  <r>
    <x v="1"/>
    <x v="51"/>
    <n v="3781.0273675609101"/>
    <n v="3689.0066162941198"/>
    <n v="3705.1169090778299"/>
    <n v="3875.19690678389"/>
    <n v="3896.3296395297498"/>
    <n v="3752"/>
  </r>
  <r>
    <x v="1"/>
    <x v="52"/>
    <n v="3869.9347178304802"/>
    <n v="3653.2311755618798"/>
    <n v="3749.4587809074901"/>
    <n v="3916.2262527756702"/>
    <n v="3932.4217256370898"/>
    <n v="3838"/>
  </r>
  <r>
    <x v="1"/>
    <x v="53"/>
    <n v="3892.97827307855"/>
    <n v="3661.9110260243801"/>
    <n v="3735.3142294299701"/>
    <n v="3924.3834198723898"/>
    <n v="3947.99416064254"/>
    <n v="3888"/>
  </r>
  <r>
    <x v="1"/>
    <x v="54"/>
    <n v="3870.5379956248298"/>
    <n v="3682.1138059723899"/>
    <n v="3858.61998165143"/>
    <n v="3941.8888999242799"/>
    <n v="3980.9728095484402"/>
    <n v="3869"/>
  </r>
  <r>
    <x v="1"/>
    <x v="55"/>
    <n v="3873.2822722935998"/>
    <n v="3723.7266104467699"/>
    <n v="3975.6559515754998"/>
    <n v="3950.0094908179099"/>
    <n v="3967.34507224655"/>
    <n v="3853"/>
  </r>
  <r>
    <x v="1"/>
    <x v="56"/>
    <n v="4037.6185220047"/>
    <n v="3881.7333749009199"/>
    <n v="4031.5580814374798"/>
    <n v="4149.03814111469"/>
    <n v="4172.2530342623904"/>
    <n v="3771"/>
  </r>
  <r>
    <x v="1"/>
    <x v="57"/>
    <n v="3995.4349759622501"/>
    <n v="3839.3755372785999"/>
    <n v="4018.7391385536198"/>
    <n v="4118.9271063955703"/>
    <n v="4126.8387940696102"/>
    <n v="3725"/>
  </r>
  <r>
    <x v="1"/>
    <x v="58"/>
    <n v="3993.1398325394598"/>
    <n v="3822.5317564001798"/>
    <n v="4040.9728475627699"/>
    <n v="4105.0972949301804"/>
    <n v="4114.3234343762797"/>
    <n v="3718"/>
  </r>
  <r>
    <x v="1"/>
    <x v="59"/>
    <n v="3943.17131750522"/>
    <n v="3797.7223219255002"/>
    <n v="4018.7201387373102"/>
    <n v="4024.7232625729498"/>
    <n v="4034.3449997740099"/>
    <n v="3743"/>
  </r>
  <r>
    <x v="1"/>
    <x v="60"/>
    <n v="4036.11182243843"/>
    <n v="3854.31628034404"/>
    <n v="4027.15383422487"/>
    <n v="4134.2447636132601"/>
    <n v="4132.09078921735"/>
    <n v="3799"/>
  </r>
  <r>
    <x v="1"/>
    <x v="61"/>
    <n v="4043.1304147470501"/>
    <n v="3857.4243422996201"/>
    <n v="4128.7103506028398"/>
    <n v="4116.2589634809301"/>
    <n v="4120.1726156386803"/>
    <n v="3804"/>
  </r>
  <r>
    <x v="1"/>
    <x v="62"/>
    <n v="4065.1100841873799"/>
    <n v="3883.1932905892099"/>
    <n v="4207.6033388849601"/>
    <n v="4126.7895989264198"/>
    <n v="4133.4340699090098"/>
    <n v="3801"/>
  </r>
  <r>
    <x v="1"/>
    <x v="63"/>
    <n v="4091.1786145433398"/>
    <n v="3901.1163493224799"/>
    <n v="4189.1700159391203"/>
    <n v="4235.75447415899"/>
    <n v="4214.1120131908801"/>
    <n v="3765"/>
  </r>
  <r>
    <x v="1"/>
    <x v="64"/>
    <n v="4133.8267689443701"/>
    <n v="3938.8858761271399"/>
    <n v="4150.26951655433"/>
    <n v="4205.46828767223"/>
    <n v="4219.3566850423604"/>
    <n v="3872"/>
  </r>
  <r>
    <x v="1"/>
    <x v="65"/>
    <n v="4109.1775875380499"/>
    <n v="3925.9475039796398"/>
    <n v="4127.4667474477501"/>
    <n v="4207.0423355105004"/>
    <n v="4199.0998235365096"/>
    <n v="3868"/>
  </r>
  <r>
    <x v="1"/>
    <x v="66"/>
    <n v="4089.1623789947498"/>
    <n v="3904.6119432209198"/>
    <n v="4143.2473650722304"/>
    <n v="4176.7734286391596"/>
    <n v="4182.99433470856"/>
    <n v="3902"/>
  </r>
  <r>
    <x v="1"/>
    <x v="67"/>
    <n v="4102.9697633019196"/>
    <n v="3918.2483141196399"/>
    <n v="4081.07353117103"/>
    <n v="4186.5796962783597"/>
    <n v="4201.5946385488296"/>
    <n v="3869"/>
  </r>
  <r>
    <x v="1"/>
    <x v="68"/>
    <n v="4101.18865954392"/>
    <n v="3951.88501792442"/>
    <n v="4189.9264391389597"/>
    <n v="4236.1390626797302"/>
    <n v="4224.4166645026899"/>
    <n v="3859"/>
  </r>
  <r>
    <x v="1"/>
    <x v="69"/>
    <n v="4117.8248553469502"/>
    <n v="3965.8031079055299"/>
    <n v="4127.1267488510102"/>
    <n v="4262.8886324696496"/>
    <n v="4277.4079575768301"/>
    <n v="3920"/>
  </r>
  <r>
    <x v="1"/>
    <x v="70"/>
    <n v="4110.8848438431396"/>
    <n v="3972.9279139823502"/>
    <n v="4209.74938642283"/>
    <n v="4278.0953796764998"/>
    <n v="4293.4773702222601"/>
    <n v="3922"/>
  </r>
  <r>
    <x v="1"/>
    <x v="71"/>
    <n v="4048.5357708268002"/>
    <n v="3962.0813822626701"/>
    <n v="4292.4657879591095"/>
    <n v="4200.2047137568497"/>
    <n v="4215.64062872263"/>
    <n v="3844"/>
  </r>
  <r>
    <x v="1"/>
    <x v="72"/>
    <n v="4241.3794298903604"/>
    <n v="3993.8479416886198"/>
    <n v="4385.1368618526103"/>
    <n v="4311.7181476118603"/>
    <n v="4327.4322123166903"/>
    <n v="3808"/>
  </r>
  <r>
    <x v="1"/>
    <x v="73"/>
    <n v="4273.9885921048299"/>
    <n v="4139.6322515333204"/>
    <n v="4237.1056064122004"/>
    <n v="4336.6345321114704"/>
    <n v="4351.9980242905704"/>
    <n v="3981"/>
  </r>
  <r>
    <x v="1"/>
    <x v="74"/>
    <n v="4325.8286963557903"/>
    <n v="4266.6858770992403"/>
    <n v="4469.9316025415001"/>
    <n v="4395.2293166067302"/>
    <n v="4411.7607060739801"/>
    <n v="4137"/>
  </r>
  <r>
    <x v="1"/>
    <x v="75"/>
    <n v="4367.7956415609497"/>
    <n v="4289.3756359295603"/>
    <n v="4470.0740894583396"/>
    <n v="4442.8345124406396"/>
    <n v="4441.7763773541301"/>
    <n v="4225"/>
  </r>
  <r>
    <x v="1"/>
    <x v="76"/>
    <n v="4486.1143822556796"/>
    <n v="4230.2732775658396"/>
    <n v="4305.5238193636596"/>
    <n v="4596.9123604667902"/>
    <n v="4603.6964101123103"/>
    <n v="4059"/>
  </r>
  <r>
    <x v="1"/>
    <x v="77"/>
    <n v="4442.5244511344499"/>
    <n v="4173.9971997258399"/>
    <n v="4289.8957045684401"/>
    <n v="4531.0760311921003"/>
    <n v="4541.7897801217596"/>
    <n v="4039"/>
  </r>
  <r>
    <x v="1"/>
    <x v="78"/>
    <n v="4377.5454343477704"/>
    <n v="4075.0344677271701"/>
    <n v="4365.0796723998201"/>
    <n v="4452.9556342407895"/>
    <n v="4462.8589737881002"/>
    <n v="3997"/>
  </r>
  <r>
    <x v="1"/>
    <x v="79"/>
    <n v="4235.5588407999403"/>
    <n v="3937.21281912514"/>
    <n v="4242.4300141935"/>
    <n v="4277.2695859593896"/>
    <n v="4297.2025023164097"/>
    <n v="3908"/>
  </r>
  <r>
    <x v="1"/>
    <x v="80"/>
    <n v="3945.8519880745698"/>
    <n v="3649.0076493335901"/>
    <n v="3952.4521256643702"/>
    <n v="3972.2522579940501"/>
    <n v="4002.9059762042598"/>
    <n v="3699"/>
  </r>
  <r>
    <x v="1"/>
    <x v="81"/>
    <n v="3846.6915168003602"/>
    <n v="3511.57833669827"/>
    <n v="3722.9550891406502"/>
    <n v="3864.8063004693799"/>
    <n v="3874.9426973049299"/>
    <n v="3548"/>
  </r>
  <r>
    <x v="1"/>
    <x v="82"/>
    <n v="3707.4454425275098"/>
    <n v="3438.8402704206501"/>
    <n v="3682.5950224932299"/>
    <n v="3765.5494133893098"/>
    <n v="3775.3207361626201"/>
    <n v="3432"/>
  </r>
  <r>
    <x v="1"/>
    <x v="83"/>
    <n v="3665.0355457976998"/>
    <n v="3355.8078529874401"/>
    <n v="3651.6758301309801"/>
    <n v="3732.5582132285999"/>
    <n v="3745.1589565273498"/>
    <n v="3321"/>
  </r>
  <r>
    <x v="1"/>
    <x v="84"/>
    <n v="3304.3476767176599"/>
    <n v="3012.1781647261801"/>
    <n v="3439.82486493126"/>
    <n v="3314.5552697476801"/>
    <n v="3328.9281107765501"/>
    <n v="3041"/>
  </r>
  <r>
    <x v="1"/>
    <x v="85"/>
    <n v="3263.0471875303601"/>
    <n v="2964.5986853772802"/>
    <n v="3288.5050593841502"/>
    <n v="3311.0170915128701"/>
    <n v="3324.96955485846"/>
    <n v="2962"/>
  </r>
  <r>
    <x v="1"/>
    <x v="86"/>
    <n v="3061.48656035568"/>
    <n v="2870.11564461336"/>
    <n v="3221.8589229036602"/>
    <n v="3104.2118448234"/>
    <n v="3116.9637498161001"/>
    <n v="2902"/>
  </r>
  <r>
    <x v="1"/>
    <x v="87"/>
    <n v="3042.04579416867"/>
    <n v="2837.47421830965"/>
    <n v="3178.15006141699"/>
    <n v="3072.2585182083599"/>
    <n v="3083.3813188244999"/>
    <n v="2879"/>
  </r>
  <r>
    <x v="1"/>
    <x v="88"/>
    <n v="3172.5173473692198"/>
    <n v="2989.9711285769999"/>
    <n v="3223.4140611769199"/>
    <n v="3246.2132589542598"/>
    <n v="3257.82108612201"/>
    <n v="3107"/>
  </r>
  <r>
    <x v="1"/>
    <x v="89"/>
    <n v="3262.4258009986502"/>
    <n v="3041.4335100428002"/>
    <n v="3228.7807714300002"/>
    <n v="3334.5158571113898"/>
    <n v="3345.7834909112999"/>
    <n v="3073"/>
  </r>
  <r>
    <x v="1"/>
    <x v="90"/>
    <n v="3144.2979372121699"/>
    <n v="2966.4595338436502"/>
    <n v="3228.1570190749699"/>
    <n v="3207.1789114969702"/>
    <n v="3211.1492772971901"/>
    <n v="3031"/>
  </r>
  <r>
    <x v="1"/>
    <x v="91"/>
    <n v="3085.9032333370201"/>
    <n v="2898.7752332353798"/>
    <n v="3179.4183011650598"/>
    <n v="3141.0628398960898"/>
    <n v="3145.7312659829799"/>
    <n v="3000"/>
  </r>
  <r>
    <x v="1"/>
    <x v="92"/>
    <n v="2978.4256477202698"/>
    <n v="2787.34986576449"/>
    <n v="3054.0478308473098"/>
    <n v="3031.6497956312101"/>
    <n v="3033.7535511288502"/>
    <n v="2863"/>
  </r>
  <r>
    <x v="1"/>
    <x v="93"/>
    <n v="3009.3313287839601"/>
    <n v="2757.06769888089"/>
    <n v="2924.0260020834698"/>
    <n v="3038.88123465944"/>
    <n v="3045.7805634874999"/>
    <n v="2857"/>
  </r>
  <r>
    <x v="1"/>
    <x v="94"/>
    <n v="3032.6732212787301"/>
    <n v="2749.20185442721"/>
    <n v="2967.5933963491402"/>
    <n v="3067.2964287787299"/>
    <n v="3076.5074105705498"/>
    <n v="2914"/>
  </r>
  <r>
    <x v="1"/>
    <x v="95"/>
    <n v="3048.4437080344401"/>
    <n v="2736.0053460085601"/>
    <n v="2988.4279193198799"/>
    <n v="3070.50572478084"/>
    <n v="3080.00867158148"/>
    <n v="2907"/>
  </r>
  <r>
    <x v="2"/>
    <x v="0"/>
    <n v="2907.2949927674999"/>
    <n v="2695.0415045804898"/>
    <n v="2979.2828275482202"/>
    <n v="3014.0698616989298"/>
    <n v="2974.1272458396202"/>
    <n v="2816"/>
  </r>
  <r>
    <x v="2"/>
    <x v="1"/>
    <n v="2898.4185895140299"/>
    <n v="2690.0349243789901"/>
    <n v="2956.3964568311799"/>
    <n v="3017.4099006103602"/>
    <n v="2979.1299407379702"/>
    <n v="2824"/>
  </r>
  <r>
    <x v="2"/>
    <x v="2"/>
    <n v="2897.69375931177"/>
    <n v="2670.94824825768"/>
    <n v="2960.7085181382499"/>
    <n v="3013.7643211402001"/>
    <n v="2969.1479757366801"/>
    <n v="2821"/>
  </r>
  <r>
    <x v="2"/>
    <x v="3"/>
    <n v="2928.0643656361899"/>
    <n v="2680.53661961136"/>
    <n v="2932.9292640356698"/>
    <n v="3032.11899446592"/>
    <n v="3008.30835625287"/>
    <n v="2822"/>
  </r>
  <r>
    <x v="2"/>
    <x v="4"/>
    <n v="2922.7453917552202"/>
    <n v="2668.63721797886"/>
    <n v="2922.99637587796"/>
    <n v="3026.2168278817198"/>
    <n v="2998.7495087668799"/>
    <n v="2813"/>
  </r>
  <r>
    <x v="2"/>
    <x v="5"/>
    <n v="2947.3696791362399"/>
    <n v="2671.2104602832201"/>
    <n v="2831.6184133337902"/>
    <n v="3038.08645427997"/>
    <n v="3059.5307204938899"/>
    <n v="2807"/>
  </r>
  <r>
    <x v="2"/>
    <x v="6"/>
    <n v="2957.03207425647"/>
    <n v="2677.0533443007498"/>
    <n v="2808.9069635407"/>
    <n v="3052.1355917129599"/>
    <n v="2988.3155894742399"/>
    <n v="2862"/>
  </r>
  <r>
    <x v="2"/>
    <x v="7"/>
    <n v="2955.2776196989998"/>
    <n v="2666.9435905862601"/>
    <n v="2825.4952144826202"/>
    <n v="3049.2851607405601"/>
    <n v="2980.21611495139"/>
    <n v="2864"/>
  </r>
  <r>
    <x v="2"/>
    <x v="8"/>
    <n v="2958.4921416325901"/>
    <n v="2616.9504335546098"/>
    <n v="2833.88473445204"/>
    <n v="3024.2220011330901"/>
    <n v="2973.7185701385602"/>
    <n v="2846"/>
  </r>
  <r>
    <x v="2"/>
    <x v="9"/>
    <n v="2927.6599245992102"/>
    <n v="2606.2106624729599"/>
    <n v="2873.2746845073998"/>
    <n v="3008.51928653402"/>
    <n v="2942.4692254143401"/>
    <n v="2828"/>
  </r>
  <r>
    <x v="2"/>
    <x v="10"/>
    <n v="2919.6785401960301"/>
    <n v="2611.3084143538399"/>
    <n v="2904.2372306279999"/>
    <n v="2945.0716962735301"/>
    <n v="2936.85333655263"/>
    <n v="2810"/>
  </r>
  <r>
    <x v="2"/>
    <x v="11"/>
    <n v="2910.6907847687098"/>
    <n v="2625.0578153482802"/>
    <n v="2919.98710867113"/>
    <n v="2950.10401716449"/>
    <n v="2942.3428063026399"/>
    <n v="2803.6666666666665"/>
  </r>
  <r>
    <x v="2"/>
    <x v="12"/>
    <n v="2926.50328861756"/>
    <n v="2612.5668537516699"/>
    <n v="2916.4058814517698"/>
    <n v="2929.3876435121601"/>
    <n v="2931.6734193013399"/>
    <n v="2764.0589502361704"/>
  </r>
  <r>
    <x v="2"/>
    <x v="13"/>
    <n v="2935.3500351839398"/>
    <n v="2619.4656781481799"/>
    <n v="2862.2447701944502"/>
    <n v="2946.6711916858799"/>
    <n v="2940.5606406106599"/>
    <n v="2791"/>
  </r>
  <r>
    <x v="2"/>
    <x v="14"/>
    <n v="2983.8893657144499"/>
    <n v="2645.16500183265"/>
    <n v="2823.4992985089898"/>
    <n v="2982.20230018556"/>
    <n v="2976.4708252129499"/>
    <n v="2855"/>
  </r>
  <r>
    <x v="2"/>
    <x v="15"/>
    <n v="2992.78940389423"/>
    <n v="2662.1829697222101"/>
    <n v="2904.0070129238902"/>
    <n v="2997.9866078803202"/>
    <n v="3007.7118595096899"/>
    <n v="2868"/>
  </r>
  <r>
    <x v="2"/>
    <x v="16"/>
    <n v="2974.1360373600601"/>
    <n v="2681.6129649733798"/>
    <n v="3053.6853320621899"/>
    <n v="3018.6336317939699"/>
    <n v="3034.37274915444"/>
    <n v="2887"/>
  </r>
  <r>
    <x v="2"/>
    <x v="17"/>
    <n v="3024.4086502919799"/>
    <n v="2721.78094259003"/>
    <n v="2986.4943770887398"/>
    <n v="3064.01085824452"/>
    <n v="3077.6548258461498"/>
    <n v="2943"/>
  </r>
  <r>
    <x v="2"/>
    <x v="18"/>
    <n v="3083.0314541047001"/>
    <n v="2783.3348232834001"/>
    <n v="3107.7719243346201"/>
    <n v="3128.7502471186299"/>
    <n v="3131.75521770571"/>
    <n v="3010"/>
  </r>
  <r>
    <x v="2"/>
    <x v="19"/>
    <n v="3158.7467680638601"/>
    <n v="2857.61226152882"/>
    <n v="3229.8417592220999"/>
    <n v="3200.6317750077901"/>
    <n v="3206.0210887837402"/>
    <n v="3041"/>
  </r>
  <r>
    <x v="2"/>
    <x v="20"/>
    <n v="3267.9645507246901"/>
    <n v="2983.4568816931301"/>
    <n v="3500.97434918509"/>
    <n v="3361.8427548168702"/>
    <n v="3380.6578898981302"/>
    <n v="3166"/>
  </r>
  <r>
    <x v="2"/>
    <x v="21"/>
    <n v="3369.7633486273398"/>
    <n v="3074.8217668647799"/>
    <n v="3371.8701541994401"/>
    <n v="3464.43165733755"/>
    <n v="3427.2614933456898"/>
    <n v="3290"/>
  </r>
  <r>
    <x v="2"/>
    <x v="22"/>
    <n v="3516.8786658456102"/>
    <n v="3194.7734769159401"/>
    <n v="3473.9298994763199"/>
    <n v="3600.3891724826499"/>
    <n v="3557.21587685961"/>
    <n v="3415"/>
  </r>
  <r>
    <x v="2"/>
    <x v="23"/>
    <n v="3662.9419523823099"/>
    <n v="3351.4630982481499"/>
    <n v="3702.9622624600602"/>
    <n v="3690.6355034407902"/>
    <n v="3753.26511964971"/>
    <n v="3532"/>
  </r>
  <r>
    <x v="2"/>
    <x v="24"/>
    <n v="4346.8660510053796"/>
    <n v="3798.9027230965398"/>
    <n v="4015.3691301242402"/>
    <n v="4283.8960280985402"/>
    <n v="4384.8596993855899"/>
    <n v="4054"/>
  </r>
  <r>
    <x v="2"/>
    <x v="25"/>
    <n v="4545.7353705607702"/>
    <n v="3939.4952437484098"/>
    <n v="4029.5716530608602"/>
    <n v="4516.3602790877603"/>
    <n v="4538.7302279696996"/>
    <n v="4179"/>
  </r>
  <r>
    <x v="2"/>
    <x v="26"/>
    <n v="4569.5211103752999"/>
    <n v="4001.7819482991599"/>
    <n v="4283.4082343195696"/>
    <n v="4553.3360360653496"/>
    <n v="4488.8208316949303"/>
    <n v="4181"/>
  </r>
  <r>
    <x v="2"/>
    <x v="27"/>
    <n v="4581.7147828076904"/>
    <n v="4070.7213890968401"/>
    <n v="4707.21153303963"/>
    <n v="4594.7423496380297"/>
    <n v="4541.8767099597499"/>
    <n v="4156"/>
  </r>
  <r>
    <x v="2"/>
    <x v="28"/>
    <n v="4724.7145636795804"/>
    <n v="4249.0497094292896"/>
    <n v="4895.5852967910096"/>
    <n v="4694.0268411738998"/>
    <n v="4696.52729495517"/>
    <n v="4128"/>
  </r>
  <r>
    <x v="2"/>
    <x v="29"/>
    <n v="4755.9347998937601"/>
    <n v="4340.0337065985505"/>
    <n v="4830.3515247021796"/>
    <n v="4776.8113471110701"/>
    <n v="4802.9216539710196"/>
    <n v="4224"/>
  </r>
  <r>
    <x v="2"/>
    <x v="30"/>
    <n v="4761.4298403944304"/>
    <n v="4343.23492426946"/>
    <n v="4732.7998954964096"/>
    <n v="4808.8282285141104"/>
    <n v="4804.3270408317503"/>
    <n v="4234"/>
  </r>
  <r>
    <x v="2"/>
    <x v="31"/>
    <n v="4770.86395230991"/>
    <n v="4340.4125260870196"/>
    <n v="4793.9998820827695"/>
    <n v="4805.9830641278504"/>
    <n v="4821.7403543907403"/>
    <n v="4254"/>
  </r>
  <r>
    <x v="2"/>
    <x v="32"/>
    <n v="4732.8093001183597"/>
    <n v="4372.2261255229196"/>
    <n v="4856.7397823807496"/>
    <n v="4706.8336164080101"/>
    <n v="4777.1299712245"/>
    <n v="4097"/>
  </r>
  <r>
    <x v="2"/>
    <x v="33"/>
    <n v="4777.4200967672195"/>
    <n v="4356.58506401879"/>
    <n v="4664.7026734210904"/>
    <n v="4784.9681588846797"/>
    <n v="4794.9033941037396"/>
    <n v="4205"/>
  </r>
  <r>
    <x v="2"/>
    <x v="34"/>
    <n v="4607.3593371240604"/>
    <n v="4280.1400711294"/>
    <n v="4682.2320195522798"/>
    <n v="4666.85279989427"/>
    <n v="4680.7497727138498"/>
    <n v="4233"/>
  </r>
  <r>
    <x v="2"/>
    <x v="35"/>
    <n v="4567.78152181111"/>
    <n v="4219.4591978674898"/>
    <n v="4630.52546577467"/>
    <n v="4620.8065580415596"/>
    <n v="4624.3643456703203"/>
    <n v="4239"/>
  </r>
  <r>
    <x v="2"/>
    <x v="36"/>
    <n v="4565.9120428972201"/>
    <n v="4236.4402375501304"/>
    <n v="4623.2193743356002"/>
    <n v="4645.1118796800101"/>
    <n v="4661.5950019571101"/>
    <n v="4379"/>
  </r>
  <r>
    <x v="2"/>
    <x v="37"/>
    <n v="4534.0145905190802"/>
    <n v="4209.2749948649098"/>
    <n v="4507.2607505612796"/>
    <n v="4617.8804556400701"/>
    <n v="4633.9687734007703"/>
    <n v="4370"/>
  </r>
  <r>
    <x v="2"/>
    <x v="38"/>
    <n v="4482.81334672502"/>
    <n v="4152.35782546255"/>
    <n v="4443.3916204529596"/>
    <n v="4550.1318168070202"/>
    <n v="4561.79903253879"/>
    <n v="4224"/>
  </r>
  <r>
    <x v="2"/>
    <x v="39"/>
    <n v="4469.9468060311201"/>
    <n v="4119.7980919635302"/>
    <n v="4475.90133835714"/>
    <n v="4549.9434851476099"/>
    <n v="4565.6998730270998"/>
    <n v="4147"/>
  </r>
  <r>
    <x v="2"/>
    <x v="40"/>
    <n v="4248.2884780423101"/>
    <n v="3918.81170311694"/>
    <n v="4353.9539375365002"/>
    <n v="4387.9829408637497"/>
    <n v="4398.2772248557803"/>
    <n v="3951"/>
  </r>
  <r>
    <x v="2"/>
    <x v="41"/>
    <n v="4175.0294911348101"/>
    <n v="3882.7574851269301"/>
    <n v="4213.2902273897298"/>
    <n v="4326.5178432192297"/>
    <n v="4342.8965419500601"/>
    <n v="3911"/>
  </r>
  <r>
    <x v="2"/>
    <x v="42"/>
    <n v="4162.2543451973697"/>
    <n v="3839.42979908393"/>
    <n v="4228.8806608894802"/>
    <n v="4292.3268411652698"/>
    <n v="4309.6329536378298"/>
    <n v="3882"/>
  </r>
  <r>
    <x v="2"/>
    <x v="43"/>
    <n v="4066.6295496182602"/>
    <n v="3801.83338315739"/>
    <n v="4206.0305073847103"/>
    <n v="4212.4250765450097"/>
    <n v="4227.99750541098"/>
    <n v="3953"/>
  </r>
  <r>
    <x v="2"/>
    <x v="44"/>
    <n v="3957.2812594206698"/>
    <n v="3709.2357908173399"/>
    <n v="4103.6434399050004"/>
    <n v="4154.9138026507499"/>
    <n v="4173.2402057274903"/>
    <n v="4066"/>
  </r>
  <r>
    <x v="2"/>
    <x v="45"/>
    <n v="3973.7911694658901"/>
    <n v="3699.7554121816802"/>
    <n v="4056.7326733866598"/>
    <n v="4130.0835555251697"/>
    <n v="4147.3731889622604"/>
    <n v="4011"/>
  </r>
  <r>
    <x v="2"/>
    <x v="46"/>
    <n v="3940.7012176713301"/>
    <n v="3670.2187390679601"/>
    <n v="3990.5449729532002"/>
    <n v="4096.7937134296399"/>
    <n v="4113.9612461678498"/>
    <n v="3939"/>
  </r>
  <r>
    <x v="2"/>
    <x v="47"/>
    <n v="3905.7542891817702"/>
    <n v="3649.0445542355201"/>
    <n v="4040.9704943926999"/>
    <n v="4066.5693747924502"/>
    <n v="4083.5750360045599"/>
    <n v="3884"/>
  </r>
  <r>
    <x v="2"/>
    <x v="48"/>
    <n v="3798.0002810870001"/>
    <n v="3569.9358013752699"/>
    <n v="3986.2623266076598"/>
    <n v="3925.1992189561302"/>
    <n v="3941.0900466253902"/>
    <n v="3637"/>
  </r>
  <r>
    <x v="2"/>
    <x v="49"/>
    <n v="3805.6117386955202"/>
    <n v="3553.3260366095201"/>
    <n v="3908.6045711327702"/>
    <n v="3912.4645509776901"/>
    <n v="3929.05952689584"/>
    <n v="3626"/>
  </r>
  <r>
    <x v="2"/>
    <x v="50"/>
    <n v="3752.3666930286499"/>
    <n v="3531.5887842908401"/>
    <n v="3774.9386770782698"/>
    <n v="3905.3064836230901"/>
    <n v="3922.1280824764199"/>
    <n v="3670"/>
  </r>
  <r>
    <x v="2"/>
    <x v="51"/>
    <n v="3761.4706812714999"/>
    <n v="3528.7671424557302"/>
    <n v="3724.6152061047701"/>
    <n v="3904.5195034692201"/>
    <n v="3930.3256257593498"/>
    <n v="3752"/>
  </r>
  <r>
    <x v="2"/>
    <x v="52"/>
    <n v="3870.7053820783299"/>
    <n v="3497.5459817034398"/>
    <n v="3672.5068887002299"/>
    <n v="3948.18345843621"/>
    <n v="3972.9164337750599"/>
    <n v="3838"/>
  </r>
  <r>
    <x v="2"/>
    <x v="53"/>
    <n v="3892.4036215689398"/>
    <n v="3505.9899122811898"/>
    <n v="3742.0094346692799"/>
    <n v="3943.4881946386499"/>
    <n v="3981.13038517413"/>
    <n v="3888"/>
  </r>
  <r>
    <x v="2"/>
    <x v="54"/>
    <n v="3854.5033887287"/>
    <n v="3524.3734972611901"/>
    <n v="3779.17490762849"/>
    <n v="3980.0290537614201"/>
    <n v="4017.6847074070201"/>
    <n v="3869"/>
  </r>
  <r>
    <x v="2"/>
    <x v="55"/>
    <n v="3871.2830358575602"/>
    <n v="3565.35258121577"/>
    <n v="3889.18684268385"/>
    <n v="3975.7306753840899"/>
    <n v="4012.9991850991501"/>
    <n v="3853"/>
  </r>
  <r>
    <x v="2"/>
    <x v="56"/>
    <n v="4091.3614928540601"/>
    <n v="3723.3876297287402"/>
    <n v="4050.9756397053702"/>
    <n v="4187.4006161720899"/>
    <n v="4203.3262318988"/>
    <n v="3771"/>
  </r>
  <r>
    <x v="2"/>
    <x v="57"/>
    <n v="4063.0278835236099"/>
    <n v="3680.5356392588501"/>
    <n v="4015.5640498563798"/>
    <n v="4157.2601366313902"/>
    <n v="4168.0651807386403"/>
    <n v="3725"/>
  </r>
  <r>
    <x v="2"/>
    <x v="58"/>
    <n v="4032.14560909188"/>
    <n v="3663.6482690453099"/>
    <n v="3976.5395691501599"/>
    <n v="4149.0360314654999"/>
    <n v="4163.6904830867097"/>
    <n v="3718"/>
  </r>
  <r>
    <x v="2"/>
    <x v="59"/>
    <n v="3968.0263324389698"/>
    <n v="3637.5297131621001"/>
    <n v="3983.3160945848499"/>
    <n v="4086.3365658182802"/>
    <n v="4101.5934145903702"/>
    <n v="3743"/>
  </r>
  <r>
    <x v="2"/>
    <x v="60"/>
    <n v="4089.4651190876498"/>
    <n v="3695.8833491730702"/>
    <n v="4081.1500257959601"/>
    <n v="4162.5548686176498"/>
    <n v="4198.7540224005197"/>
    <n v="3799"/>
  </r>
  <r>
    <x v="2"/>
    <x v="61"/>
    <n v="4079.1452126693598"/>
    <n v="3697.8751904921901"/>
    <n v="4044.2814139979901"/>
    <n v="4149.0865382365801"/>
    <n v="4145.4455751142596"/>
    <n v="3804"/>
  </r>
  <r>
    <x v="2"/>
    <x v="62"/>
    <n v="4081.8495050537399"/>
    <n v="3723.11280957693"/>
    <n v="4131.3855901852603"/>
    <n v="4163.4024702837896"/>
    <n v="4179.9832021246602"/>
    <n v="3801"/>
  </r>
  <r>
    <x v="2"/>
    <x v="63"/>
    <n v="4098.1561889147897"/>
    <n v="3741.4242230632299"/>
    <n v="4184.4460487863698"/>
    <n v="4192.3728522309902"/>
    <n v="4179.1162505392404"/>
    <n v="3765"/>
  </r>
  <r>
    <x v="2"/>
    <x v="64"/>
    <n v="4118.3471930217702"/>
    <n v="3779.8513766373799"/>
    <n v="4175.02888235505"/>
    <n v="4230.9449093762596"/>
    <n v="4249.5707407161799"/>
    <n v="3872"/>
  </r>
  <r>
    <x v="2"/>
    <x v="65"/>
    <n v="4092.2662542509402"/>
    <n v="3765.72552093176"/>
    <n v="4175.3914386342103"/>
    <n v="4178.4599611820404"/>
    <n v="4200.1040468935198"/>
    <n v="3868"/>
  </r>
  <r>
    <x v="2"/>
    <x v="66"/>
    <n v="4047.3731096060501"/>
    <n v="3742.45026696593"/>
    <n v="4173.7756085979299"/>
    <n v="4145.7006736987796"/>
    <n v="4208.9544146942599"/>
    <n v="3902"/>
  </r>
  <r>
    <x v="2"/>
    <x v="67"/>
    <n v="4059.9371304330898"/>
    <n v="3756.57211085273"/>
    <n v="4193.8943567442002"/>
    <n v="4212.4797821873199"/>
    <n v="4233.2132352209601"/>
    <n v="3869"/>
  </r>
  <r>
    <x v="2"/>
    <x v="68"/>
    <n v="4099.1655451834204"/>
    <n v="3792.4214657287998"/>
    <n v="4109.5216268940503"/>
    <n v="4259.6327395259204"/>
    <n v="4249.3843863468201"/>
    <n v="3859"/>
  </r>
  <r>
    <x v="2"/>
    <x v="69"/>
    <n v="4136.2618804248104"/>
    <n v="3806.5956031513701"/>
    <n v="4208.5865710329099"/>
    <n v="4286.30084307795"/>
    <n v="4306.5947732528502"/>
    <n v="3920"/>
  </r>
  <r>
    <x v="2"/>
    <x v="70"/>
    <n v="4144.9019342810998"/>
    <n v="3813.2539204586001"/>
    <n v="4224.3636048861299"/>
    <n v="4302.7430584739895"/>
    <n v="4324.3517528802804"/>
    <n v="3922"/>
  </r>
  <r>
    <x v="2"/>
    <x v="71"/>
    <n v="4089.3229984249801"/>
    <n v="3798.55008542011"/>
    <n v="4342.8071734451696"/>
    <n v="4226.8828519057697"/>
    <n v="4248.8457267741096"/>
    <n v="3844"/>
  </r>
  <r>
    <x v="2"/>
    <x v="72"/>
    <n v="4177.1256147364502"/>
    <n v="3834.5514610109999"/>
    <n v="4359.2503209072502"/>
    <n v="4338.3004184847296"/>
    <n v="4360.1080003766601"/>
    <n v="3808"/>
  </r>
  <r>
    <x v="2"/>
    <x v="73"/>
    <n v="4233.3579332632598"/>
    <n v="3976.1936839145801"/>
    <n v="4471.3575940813298"/>
    <n v="4365.2402931160896"/>
    <n v="4386.8109195159604"/>
    <n v="3981"/>
  </r>
  <r>
    <x v="2"/>
    <x v="74"/>
    <n v="4253.6956355818702"/>
    <n v="4102.9682438664904"/>
    <n v="4410.6813118760801"/>
    <n v="4425.3989270004304"/>
    <n v="4448.6938700389701"/>
    <n v="4137"/>
  </r>
  <r>
    <x v="2"/>
    <x v="75"/>
    <n v="4318.05057391019"/>
    <n v="4125.1075285985798"/>
    <n v="4513.3279530104901"/>
    <n v="4472.0764625947504"/>
    <n v="4491.2518432598799"/>
    <n v="4225"/>
  </r>
  <r>
    <x v="2"/>
    <x v="76"/>
    <n v="4479.2035229551802"/>
    <n v="4070.7777434264699"/>
    <n v="4381.4562000136602"/>
    <n v="4603.7423022763996"/>
    <n v="4632.3488193830299"/>
    <n v="4059"/>
  </r>
  <r>
    <x v="2"/>
    <x v="77"/>
    <n v="4422.3642079068804"/>
    <n v="4013.3725414833898"/>
    <n v="4237.3745474328498"/>
    <n v="4556.5143943146904"/>
    <n v="4571.1352583308399"/>
    <n v="4039"/>
  </r>
  <r>
    <x v="2"/>
    <x v="78"/>
    <n v="4373.8562373015802"/>
    <n v="3915.2033334590801"/>
    <n v="4252.8319466678804"/>
    <n v="4479.5062303338"/>
    <n v="4493.0460189112"/>
    <n v="3997"/>
  </r>
  <r>
    <x v="2"/>
    <x v="79"/>
    <n v="4208.4645071622599"/>
    <n v="3776.9127707385801"/>
    <n v="4257.4278242033697"/>
    <n v="4297.3353363941196"/>
    <n v="4326.6991031384696"/>
    <n v="3908"/>
  </r>
  <r>
    <x v="2"/>
    <x v="80"/>
    <n v="3887.7980984423698"/>
    <n v="3487.7731447701799"/>
    <n v="4022.0764421182198"/>
    <n v="3972.4072108945002"/>
    <n v="4031.8497431780402"/>
    <n v="3699"/>
  </r>
  <r>
    <x v="2"/>
    <x v="81"/>
    <n v="3787.6139308423199"/>
    <n v="3349.8211764049502"/>
    <n v="3738.0364237153199"/>
    <n v="3854.8007284607402"/>
    <n v="3877.53919203339"/>
    <n v="3548"/>
  </r>
  <r>
    <x v="2"/>
    <x v="82"/>
    <n v="3648.3012677272"/>
    <n v="3276.2678084566301"/>
    <n v="3591.6536026877402"/>
    <n v="3790.8885870377799"/>
    <n v="3804.2635585488501"/>
    <n v="3432"/>
  </r>
  <r>
    <x v="2"/>
    <x v="83"/>
    <n v="3611.3752213405201"/>
    <n v="3194.6455839557798"/>
    <n v="3572.6840344989801"/>
    <n v="3756.7666311430098"/>
    <n v="3773.6470334574001"/>
    <n v="3321"/>
  </r>
  <r>
    <x v="2"/>
    <x v="84"/>
    <n v="3232.1092944934198"/>
    <n v="2846.1777305952301"/>
    <n v="3442.0502694799802"/>
    <n v="3341.0041520053201"/>
    <n v="3360.6838113521098"/>
    <n v="3041"/>
  </r>
  <r>
    <x v="2"/>
    <x v="85"/>
    <n v="3203.07799927224"/>
    <n v="2799.41033861406"/>
    <n v="3275.0887406560801"/>
    <n v="3337.8670329085598"/>
    <n v="3356.6800576789401"/>
    <n v="2962"/>
  </r>
  <r>
    <x v="2"/>
    <x v="86"/>
    <n v="2997.3717679850201"/>
    <n v="2701.8409596679599"/>
    <n v="3173.2773816162398"/>
    <n v="3133.7122686654402"/>
    <n v="3152.3064828874499"/>
    <n v="2902"/>
  </r>
  <r>
    <x v="2"/>
    <x v="87"/>
    <n v="2987.6109466477401"/>
    <n v="2669.3307747704098"/>
    <n v="3223.4585480645401"/>
    <n v="3101.5381093916299"/>
    <n v="3118.6167995558399"/>
    <n v="2879"/>
  </r>
  <r>
    <x v="2"/>
    <x v="88"/>
    <n v="3144.3248361279602"/>
    <n v="2823.1149977527298"/>
    <n v="3195.7539187287298"/>
    <n v="3274.2212790799999"/>
    <n v="3292.2563392074699"/>
    <n v="3107"/>
  </r>
  <r>
    <x v="2"/>
    <x v="89"/>
    <n v="3252.1252305141102"/>
    <n v="2875.4685478830702"/>
    <n v="3285.9476727924498"/>
    <n v="3360.2990858431599"/>
    <n v="3377.1935101885401"/>
    <n v="3073"/>
  </r>
  <r>
    <x v="2"/>
    <x v="90"/>
    <n v="3126.3521952104702"/>
    <n v="2798.6381595480898"/>
    <n v="3260.6733215730801"/>
    <n v="3234.7198750535499"/>
    <n v="3244.1107291854501"/>
    <n v="3031"/>
  </r>
  <r>
    <x v="2"/>
    <x v="91"/>
    <n v="3050.7316840407402"/>
    <n v="2730.3548277302998"/>
    <n v="3203.3997070262699"/>
    <n v="3168.8893349309401"/>
    <n v="3179.26677828942"/>
    <n v="3000"/>
  </r>
  <r>
    <x v="2"/>
    <x v="92"/>
    <n v="2929.4940895028799"/>
    <n v="2618.4053523867701"/>
    <n v="3074.85622404897"/>
    <n v="3059.7577430227202"/>
    <n v="3066.2460008694802"/>
    <n v="2863"/>
  </r>
  <r>
    <x v="2"/>
    <x v="93"/>
    <n v="2938.6940135032801"/>
    <n v="2588.8064932038401"/>
    <n v="3014.1444394107598"/>
    <n v="3067.0736157166002"/>
    <n v="3078.3651691292798"/>
    <n v="2857"/>
  </r>
  <r>
    <x v="2"/>
    <x v="94"/>
    <n v="2942.4438004777098"/>
    <n v="2582.1236515718001"/>
    <n v="2933.5235389920699"/>
    <n v="3095.7228105722702"/>
    <n v="3109.4592122573599"/>
    <n v="2914"/>
  </r>
  <r>
    <x v="2"/>
    <x v="95"/>
    <n v="2943.7238831629402"/>
    <n v="2569.6003915115398"/>
    <n v="2952.2603978766401"/>
    <n v="3099.3963363118201"/>
    <n v="3113.6376112385301"/>
    <n v="2907"/>
  </r>
  <r>
    <x v="3"/>
    <x v="9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4">
  <r>
    <x v="0"/>
    <n v="16.342807524000001"/>
    <n v="0.79828669448"/>
    <n v="0.54107039813000002"/>
    <x v="0"/>
    <s v="0000-0015"/>
  </r>
  <r>
    <x v="0"/>
    <n v="16.342807524000001"/>
    <n v="0.79828669448"/>
    <n v="0.54107039813000002"/>
    <x v="0"/>
    <s v="0015-0030"/>
  </r>
  <r>
    <x v="0"/>
    <n v="16.342807524000001"/>
    <n v="0.79828669448"/>
    <n v="0.54107039813000002"/>
    <x v="0"/>
    <s v="0030-0045"/>
  </r>
  <r>
    <x v="0"/>
    <n v="16.342807524000001"/>
    <n v="0.79828669448"/>
    <n v="0.54107039813000002"/>
    <x v="0"/>
    <s v="0045-0100"/>
  </r>
  <r>
    <x v="0"/>
    <n v="15.799508455"/>
    <n v="0.81765597942000001"/>
    <n v="0.54898144198999999"/>
    <x v="0"/>
    <s v="0100-0115"/>
  </r>
  <r>
    <x v="0"/>
    <n v="15.799508455"/>
    <n v="0.81765597942000001"/>
    <n v="0.54898144198999999"/>
    <x v="0"/>
    <s v="0115-0130"/>
  </r>
  <r>
    <x v="0"/>
    <n v="15.799508455"/>
    <n v="0.81765597942000001"/>
    <n v="0.54898144198999999"/>
    <x v="0"/>
    <s v="0130-0145"/>
  </r>
  <r>
    <x v="0"/>
    <n v="15.799508455"/>
    <n v="0.81765597942000001"/>
    <n v="0.54898144198999999"/>
    <x v="0"/>
    <s v="0145-0200"/>
  </r>
  <r>
    <x v="0"/>
    <n v="14.093914982999999"/>
    <n v="0.87745919626000002"/>
    <n v="0.57793805709000001"/>
    <x v="0"/>
    <s v="0200-0215"/>
  </r>
  <r>
    <x v="0"/>
    <n v="14.093914982999999"/>
    <n v="0.87745919626000002"/>
    <n v="0.57793805709000001"/>
    <x v="0"/>
    <s v="0215-0230"/>
  </r>
  <r>
    <x v="0"/>
    <n v="14.093914982999999"/>
    <n v="0.87745919626000002"/>
    <n v="0.57793805709000001"/>
    <x v="0"/>
    <s v="0230-0245"/>
  </r>
  <r>
    <x v="0"/>
    <n v="14.093914982999999"/>
    <n v="0.87745919626000002"/>
    <n v="0.57793805709000001"/>
    <x v="0"/>
    <s v="0245-0300"/>
  </r>
  <r>
    <x v="0"/>
    <n v="14.603408658999999"/>
    <n v="0.87921375891999998"/>
    <n v="0.41256335301000002"/>
    <x v="0"/>
    <s v="0300-0315"/>
  </r>
  <r>
    <x v="0"/>
    <n v="14.603408658999999"/>
    <n v="0.87921375891999998"/>
    <n v="0.41256335301000002"/>
    <x v="0"/>
    <s v="0315-0330"/>
  </r>
  <r>
    <x v="0"/>
    <n v="14.603408658999999"/>
    <n v="0.87921375891999998"/>
    <n v="0.41256335301000002"/>
    <x v="0"/>
    <s v="0330-0345"/>
  </r>
  <r>
    <x v="0"/>
    <n v="14.603408658999999"/>
    <n v="0.87921375891999998"/>
    <n v="0.41256335301000002"/>
    <x v="0"/>
    <s v="0345-0400"/>
  </r>
  <r>
    <x v="0"/>
    <n v="14.238504316"/>
    <n v="0.87663301051999998"/>
    <n v="0.47910987352000001"/>
    <x v="1"/>
    <s v="0400-0415"/>
  </r>
  <r>
    <x v="0"/>
    <n v="14.238504316"/>
    <n v="0.87663301051999998"/>
    <n v="0.47910987352000001"/>
    <x v="1"/>
    <s v="0415-0430"/>
  </r>
  <r>
    <x v="0"/>
    <n v="14.238504316"/>
    <n v="0.87663301051999998"/>
    <n v="0.47910987352000001"/>
    <x v="1"/>
    <s v="0430-0445"/>
  </r>
  <r>
    <x v="0"/>
    <n v="14.238504316"/>
    <n v="0.87663301051999998"/>
    <n v="0.47910987352000001"/>
    <x v="1"/>
    <s v="0445-0500"/>
  </r>
  <r>
    <x v="0"/>
    <n v="14.003526619000001"/>
    <n v="0.85269689802000004"/>
    <n v="0.58004114852999999"/>
    <x v="1"/>
    <s v="0500-0515"/>
  </r>
  <r>
    <x v="0"/>
    <n v="14.003526619000001"/>
    <n v="0.85269689802000004"/>
    <n v="0.58004114852999999"/>
    <x v="1"/>
    <s v="0515-0530"/>
  </r>
  <r>
    <x v="0"/>
    <n v="14.003526619000001"/>
    <n v="0.85269689802000004"/>
    <n v="0.58004114852999999"/>
    <x v="1"/>
    <s v="0530-0545"/>
  </r>
  <r>
    <x v="0"/>
    <n v="14.003526619000001"/>
    <n v="0.85269689802000004"/>
    <n v="0.58004114852999999"/>
    <x v="1"/>
    <s v="0545-0600"/>
  </r>
  <r>
    <x v="0"/>
    <n v="13.90220498"/>
    <n v="0.84777875661000002"/>
    <n v="0.72083311793000004"/>
    <x v="2"/>
    <s v="0600-0615"/>
  </r>
  <r>
    <x v="0"/>
    <n v="13.90220498"/>
    <n v="0.84777875661000002"/>
    <n v="0.72083311793000004"/>
    <x v="2"/>
    <s v="0615-0630"/>
  </r>
  <r>
    <x v="0"/>
    <n v="13.90220498"/>
    <n v="0.84777875661000002"/>
    <n v="0.72083311793000004"/>
    <x v="2"/>
    <s v="0630-0645"/>
  </r>
  <r>
    <x v="0"/>
    <n v="13.90220498"/>
    <n v="0.84777875661000002"/>
    <n v="0.72083311793000004"/>
    <x v="2"/>
    <s v="0645-0700"/>
  </r>
  <r>
    <x v="0"/>
    <n v="14.582747553000001"/>
    <n v="0.83210062951999997"/>
    <n v="0.72095254887000004"/>
    <x v="2"/>
    <s v="0700-0715"/>
  </r>
  <r>
    <x v="0"/>
    <n v="14.582747553000001"/>
    <n v="0.83210062951999997"/>
    <n v="0.72095254887000004"/>
    <x v="2"/>
    <s v="0715-0730"/>
  </r>
  <r>
    <x v="0"/>
    <n v="14.582747553000001"/>
    <n v="0.83210062951999997"/>
    <n v="0.72095254887000004"/>
    <x v="2"/>
    <s v="0730-0745"/>
  </r>
  <r>
    <x v="0"/>
    <n v="14.582747553000001"/>
    <n v="0.83210062951999997"/>
    <n v="0.72095254887000004"/>
    <x v="2"/>
    <s v="0745-0800"/>
  </r>
  <r>
    <x v="0"/>
    <n v="15.006508189"/>
    <n v="0.81727385211000003"/>
    <n v="0.76557672290000001"/>
    <x v="3"/>
    <s v="0800-0815"/>
  </r>
  <r>
    <x v="0"/>
    <n v="15.006508189"/>
    <n v="0.81727385211000003"/>
    <n v="0.76557672290000001"/>
    <x v="3"/>
    <s v="0815-0830"/>
  </r>
  <r>
    <x v="0"/>
    <n v="15.006508189"/>
    <n v="0.81727385211000003"/>
    <n v="0.76557672290000001"/>
    <x v="3"/>
    <s v="0830-0845"/>
  </r>
  <r>
    <x v="0"/>
    <n v="15.006508189"/>
    <n v="0.81727385211000003"/>
    <n v="0.76557672290000001"/>
    <x v="3"/>
    <s v="0845-0900"/>
  </r>
  <r>
    <x v="0"/>
    <n v="16.006508188000002"/>
    <n v="0.76987986349000004"/>
    <n v="0.80662075900999997"/>
    <x v="4"/>
    <s v="0900-0915"/>
  </r>
  <r>
    <x v="0"/>
    <n v="16.006508188000002"/>
    <n v="0.76987986349000004"/>
    <n v="0.80662075900999997"/>
    <x v="4"/>
    <s v="0915-0930"/>
  </r>
  <r>
    <x v="0"/>
    <n v="16.006508188000002"/>
    <n v="0.76987986349000004"/>
    <n v="0.80662075900999997"/>
    <x v="4"/>
    <s v="0930-0945"/>
  </r>
  <r>
    <x v="0"/>
    <n v="16.006508188000002"/>
    <n v="0.76987986349000004"/>
    <n v="0.80662075900999997"/>
    <x v="4"/>
    <s v="0945-1000"/>
  </r>
  <r>
    <x v="0"/>
    <n v="17.935527617000002"/>
    <n v="0.69686718250000002"/>
    <n v="0.84281228082000004"/>
    <x v="5"/>
    <s v="1000-1015"/>
  </r>
  <r>
    <x v="0"/>
    <n v="17.935527617000002"/>
    <n v="0.69686718250000002"/>
    <n v="0.84281228082000004"/>
    <x v="5"/>
    <s v="1015-1030"/>
  </r>
  <r>
    <x v="0"/>
    <n v="17.935527617000002"/>
    <n v="0.69686718250000002"/>
    <n v="0.84281228082000004"/>
    <x v="5"/>
    <s v="1030-1045"/>
  </r>
  <r>
    <x v="0"/>
    <n v="17.935527617000002"/>
    <n v="0.69686718250000002"/>
    <n v="0.84281228082000004"/>
    <x v="5"/>
    <s v="1045-1100"/>
  </r>
  <r>
    <x v="0"/>
    <n v="19.690869954"/>
    <n v="0.63663075578999995"/>
    <n v="0.84921939810000002"/>
    <x v="5"/>
    <s v="1100-1115"/>
  </r>
  <r>
    <x v="0"/>
    <n v="19.690869954"/>
    <n v="0.63663075578999995"/>
    <n v="0.84921939810000002"/>
    <x v="5"/>
    <s v="1115-1130"/>
  </r>
  <r>
    <x v="0"/>
    <n v="19.690869954"/>
    <n v="0.63663075578999995"/>
    <n v="0.84921939810000002"/>
    <x v="5"/>
    <s v="1130-1145"/>
  </r>
  <r>
    <x v="0"/>
    <n v="19.690869954"/>
    <n v="0.63663075578999995"/>
    <n v="0.84921939810000002"/>
    <x v="5"/>
    <s v="1145-1200"/>
  </r>
  <r>
    <x v="0"/>
    <n v="21.325965609000001"/>
    <n v="0.59604756549000004"/>
    <n v="0.85242295674000002"/>
    <x v="6"/>
    <s v="1200-1215"/>
  </r>
  <r>
    <x v="0"/>
    <n v="21.325965609000001"/>
    <n v="0.59604756549000004"/>
    <n v="0.85242295674000002"/>
    <x v="6"/>
    <s v="1215-1230"/>
  </r>
  <r>
    <x v="0"/>
    <n v="21.325965609000001"/>
    <n v="0.59604756549000004"/>
    <n v="0.85242295674000002"/>
    <x v="6"/>
    <s v="1230-1245"/>
  </r>
  <r>
    <x v="0"/>
    <n v="21.325965609000001"/>
    <n v="0.59604756549000004"/>
    <n v="0.85242295674000002"/>
    <x v="6"/>
    <s v="1245-1300"/>
  </r>
  <r>
    <x v="0"/>
    <n v="22.364005883000001"/>
    <n v="0.55938229230000003"/>
    <n v="0.85242295674000002"/>
    <x v="6"/>
    <s v="1300-1315"/>
  </r>
  <r>
    <x v="0"/>
    <n v="22.364005883000001"/>
    <n v="0.55938229230000003"/>
    <n v="0.85242295674000002"/>
    <x v="6"/>
    <s v="1315-1330"/>
  </r>
  <r>
    <x v="0"/>
    <n v="22.364005883000001"/>
    <n v="0.55938229230000003"/>
    <n v="0.85242295674000002"/>
    <x v="6"/>
    <s v="1330-1345"/>
  </r>
  <r>
    <x v="0"/>
    <n v="22.364005883000001"/>
    <n v="0.55938229230000003"/>
    <n v="0.85242295674000002"/>
    <x v="6"/>
    <s v="1345-1400"/>
  </r>
  <r>
    <x v="0"/>
    <n v="23.081307945999999"/>
    <n v="0.54150007412000001"/>
    <n v="0.85242295674000002"/>
    <x v="7"/>
    <s v="1400-1415"/>
  </r>
  <r>
    <x v="0"/>
    <n v="23.081307945999999"/>
    <n v="0.54150007412000001"/>
    <n v="0.85242295674000002"/>
    <x v="7"/>
    <s v="1415-1430"/>
  </r>
  <r>
    <x v="0"/>
    <n v="23.081307945999999"/>
    <n v="0.54150007412000001"/>
    <n v="0.85242295674000002"/>
    <x v="7"/>
    <s v="1430-1445"/>
  </r>
  <r>
    <x v="0"/>
    <n v="23.081307945999999"/>
    <n v="0.54150007412000001"/>
    <n v="0.85242295674000002"/>
    <x v="7"/>
    <s v="1445-1500"/>
  </r>
  <r>
    <x v="0"/>
    <n v="23.818107588"/>
    <n v="0.53049392054"/>
    <n v="0.85242295674000002"/>
    <x v="7"/>
    <s v="1500-1515"/>
  </r>
  <r>
    <x v="0"/>
    <n v="23.818107588"/>
    <n v="0.53049392054"/>
    <n v="0.85242295674000002"/>
    <x v="7"/>
    <s v="1515-1530"/>
  </r>
  <r>
    <x v="0"/>
    <n v="23.818107588"/>
    <n v="0.53049392054"/>
    <n v="0.85242295674000002"/>
    <x v="7"/>
    <s v="1530-1545"/>
  </r>
  <r>
    <x v="0"/>
    <n v="23.818107588"/>
    <n v="0.53049392054"/>
    <n v="0.85242295674000002"/>
    <x v="7"/>
    <s v="1545-1600"/>
  </r>
  <r>
    <x v="0"/>
    <n v="23.138463453"/>
    <n v="0.53457946438000004"/>
    <n v="0.85242295674000002"/>
    <x v="7"/>
    <s v="1600-1615"/>
  </r>
  <r>
    <x v="0"/>
    <n v="23.138463453"/>
    <n v="0.53457946438000004"/>
    <n v="0.85242295674000002"/>
    <x v="7"/>
    <s v="1615-1630"/>
  </r>
  <r>
    <x v="0"/>
    <n v="23.138463453"/>
    <n v="0.53457946438000004"/>
    <n v="0.85242295674000002"/>
    <x v="7"/>
    <s v="1630-1645"/>
  </r>
  <r>
    <x v="0"/>
    <n v="23.138463453"/>
    <n v="0.53457946438000004"/>
    <n v="0.85242295674000002"/>
    <x v="7"/>
    <s v="1645-1700"/>
  </r>
  <r>
    <x v="0"/>
    <n v="22.368723516999999"/>
    <n v="0.55978156165000004"/>
    <n v="0.85082117741999996"/>
    <x v="8"/>
    <s v="1700-1715"/>
  </r>
  <r>
    <x v="0"/>
    <n v="22.368723516999999"/>
    <n v="0.55978156165000004"/>
    <n v="0.85082117741999996"/>
    <x v="8"/>
    <s v="1715-1730"/>
  </r>
  <r>
    <x v="0"/>
    <n v="22.368723516999999"/>
    <n v="0.55978156165000004"/>
    <n v="0.85082117741999996"/>
    <x v="8"/>
    <s v="1730-1745"/>
  </r>
  <r>
    <x v="0"/>
    <n v="22.368723516999999"/>
    <n v="0.55978156165000004"/>
    <n v="0.85082117741999996"/>
    <x v="8"/>
    <s v="1745-1800"/>
  </r>
  <r>
    <x v="0"/>
    <n v="21.209444024"/>
    <n v="0.60041474771000003"/>
    <n v="0.85082117741999996"/>
    <x v="8"/>
    <s v="1800-1815"/>
  </r>
  <r>
    <x v="0"/>
    <n v="21.209444024"/>
    <n v="0.60041474771000003"/>
    <n v="0.85082117741999996"/>
    <x v="8"/>
    <s v="1815-1830"/>
  </r>
  <r>
    <x v="0"/>
    <n v="21.209444024"/>
    <n v="0.60041474771000003"/>
    <n v="0.85082117741999996"/>
    <x v="9"/>
    <s v="1830-1845"/>
  </r>
  <r>
    <x v="0"/>
    <n v="21.209444024"/>
    <n v="0.60041474771000003"/>
    <n v="0.85082117741999996"/>
    <x v="9"/>
    <s v="1845-1900"/>
  </r>
  <r>
    <x v="0"/>
    <n v="20.209444025"/>
    <n v="0.63098985147999997"/>
    <n v="0.97850149369999995"/>
    <x v="9"/>
    <s v="1900-1915"/>
  </r>
  <r>
    <x v="0"/>
    <n v="20.209444025"/>
    <n v="0.63098985147999997"/>
    <n v="0.97850149369999995"/>
    <x v="9"/>
    <s v="1915-1930"/>
  </r>
  <r>
    <x v="0"/>
    <n v="20.209444025"/>
    <n v="0.63098985147999997"/>
    <n v="0.97850149369999995"/>
    <x v="9"/>
    <s v="1930-1945"/>
  </r>
  <r>
    <x v="0"/>
    <n v="20.209444025"/>
    <n v="0.63098985147999997"/>
    <n v="0.97850149369999995"/>
    <x v="9"/>
    <s v="1945-2000"/>
  </r>
  <r>
    <x v="0"/>
    <n v="18.926746090000002"/>
    <n v="0.65992110184999997"/>
    <n v="0.98203827875000005"/>
    <x v="9"/>
    <s v="2000-2015"/>
  </r>
  <r>
    <x v="0"/>
    <n v="18.926746090000002"/>
    <n v="0.65992110184999997"/>
    <n v="0.98203827875000005"/>
    <x v="9"/>
    <s v="2015-2030"/>
  </r>
  <r>
    <x v="0"/>
    <n v="18.926746090000002"/>
    <n v="0.65992110184999997"/>
    <n v="0.98203827875000005"/>
    <x v="9"/>
    <s v="2030-2045"/>
  </r>
  <r>
    <x v="0"/>
    <n v="18.926746090000002"/>
    <n v="0.65992110184999997"/>
    <n v="0.98203827875000005"/>
    <x v="9"/>
    <s v="2045-2100"/>
  </r>
  <r>
    <x v="0"/>
    <n v="18.209444027"/>
    <n v="0.66838895734000003"/>
    <n v="0.98519466104999998"/>
    <x v="9"/>
    <s v="2100-2115"/>
  </r>
  <r>
    <x v="0"/>
    <n v="18.209444027"/>
    <n v="0.66838895734000003"/>
    <n v="0.98519466104999998"/>
    <x v="9"/>
    <s v="2115-2130"/>
  </r>
  <r>
    <x v="0"/>
    <n v="18.209444027"/>
    <n v="0.66838895734000003"/>
    <n v="0.98519466104999998"/>
    <x v="10"/>
    <s v="2130-2145"/>
  </r>
  <r>
    <x v="0"/>
    <n v="18.209444027"/>
    <n v="0.66838895734000003"/>
    <n v="0.98519466104999998"/>
    <x v="10"/>
    <s v="2145-2200"/>
  </r>
  <r>
    <x v="0"/>
    <n v="17.505967026"/>
    <n v="0.67945601640999997"/>
    <n v="0.98679644037000003"/>
    <x v="10"/>
    <s v="2200-2215"/>
  </r>
  <r>
    <x v="0"/>
    <n v="17.505967026"/>
    <n v="0.67945601640999997"/>
    <n v="0.98679644037000003"/>
    <x v="10"/>
    <s v="2215-2230"/>
  </r>
  <r>
    <x v="0"/>
    <n v="17.505967026"/>
    <n v="0.67945601640999997"/>
    <n v="0.98679644037000003"/>
    <x v="10"/>
    <s v="2230-2245"/>
  </r>
  <r>
    <x v="0"/>
    <n v="17.505967026"/>
    <n v="0.67945601640999997"/>
    <n v="0.98679644037000003"/>
    <x v="10"/>
    <s v="2245-2300"/>
  </r>
  <r>
    <x v="0"/>
    <n v="17.312466452999999"/>
    <n v="0.67607866608"/>
    <n v="0.98839821968999997"/>
    <x v="10"/>
    <s v="2300-2315"/>
  </r>
  <r>
    <x v="0"/>
    <n v="17.312466452999999"/>
    <n v="0.67607866608"/>
    <n v="0.98839821968999997"/>
    <x v="10"/>
    <s v="2315-2330"/>
  </r>
  <r>
    <x v="0"/>
    <n v="17.312466452999999"/>
    <n v="0.67607866608"/>
    <n v="0.98839821968999997"/>
    <x v="10"/>
    <s v="2330-2345"/>
  </r>
  <r>
    <x v="0"/>
    <n v="17.312466452999999"/>
    <n v="0.67607866608"/>
    <n v="0.98839821968999997"/>
    <x v="10"/>
    <s v="2345-2400"/>
  </r>
  <r>
    <x v="1"/>
    <n v="16.141062684000001"/>
    <n v="0.81664928440999995"/>
    <n v="0.32787153229999999"/>
    <x v="0"/>
    <s v="0000-0015"/>
  </r>
  <r>
    <x v="1"/>
    <n v="16.141062684000001"/>
    <n v="0.81664928440999995"/>
    <n v="0.32787153229999999"/>
    <x v="0"/>
    <s v="0015-0030"/>
  </r>
  <r>
    <x v="1"/>
    <n v="16.141062684000001"/>
    <n v="0.81664928440999995"/>
    <n v="0.32787153229999999"/>
    <x v="0"/>
    <s v="0030-0045"/>
  </r>
  <r>
    <x v="1"/>
    <n v="16.141062684000001"/>
    <n v="0.81664928440999995"/>
    <n v="0.32787153229999999"/>
    <x v="0"/>
    <s v="0045-0100"/>
  </r>
  <r>
    <x v="1"/>
    <n v="15.750624689"/>
    <n v="0.81692924106999998"/>
    <n v="0.35626423927"/>
    <x v="0"/>
    <s v="0100-0115"/>
  </r>
  <r>
    <x v="1"/>
    <n v="15.750624689"/>
    <n v="0.81692924106999998"/>
    <n v="0.35626423927"/>
    <x v="0"/>
    <s v="0115-0130"/>
  </r>
  <r>
    <x v="1"/>
    <n v="15.750624689"/>
    <n v="0.81692924106999998"/>
    <n v="0.35626423927"/>
    <x v="0"/>
    <s v="0130-0145"/>
  </r>
  <r>
    <x v="1"/>
    <n v="15.750624689"/>
    <n v="0.81692924106999998"/>
    <n v="0.35626423927"/>
    <x v="0"/>
    <s v="0145-0200"/>
  </r>
  <r>
    <x v="1"/>
    <n v="15.192219773"/>
    <n v="0.82195643253999995"/>
    <n v="0.37384902746999998"/>
    <x v="0"/>
    <s v="0200-0215"/>
  </r>
  <r>
    <x v="1"/>
    <n v="15.192219773"/>
    <n v="0.82195643253999995"/>
    <n v="0.37384902746999998"/>
    <x v="0"/>
    <s v="0215-0230"/>
  </r>
  <r>
    <x v="1"/>
    <n v="15.192219773"/>
    <n v="0.82195643253999995"/>
    <n v="0.37384902746999998"/>
    <x v="0"/>
    <s v="0230-0245"/>
  </r>
  <r>
    <x v="1"/>
    <n v="15.192219773"/>
    <n v="0.82195643253999995"/>
    <n v="0.37384902746999998"/>
    <x v="0"/>
    <s v="0245-0300"/>
  </r>
  <r>
    <x v="1"/>
    <n v="14.817725250000001"/>
    <n v="0.82369046679000002"/>
    <n v="0.31370477273000003"/>
    <x v="0"/>
    <s v="0300-0315"/>
  </r>
  <r>
    <x v="1"/>
    <n v="14.817725250000001"/>
    <n v="0.82369046679000002"/>
    <n v="0.31370477273000003"/>
    <x v="0"/>
    <s v="0315-0330"/>
  </r>
  <r>
    <x v="1"/>
    <n v="14.817725250000001"/>
    <n v="0.82369046679000002"/>
    <n v="0.31370477273000003"/>
    <x v="0"/>
    <s v="0330-0345"/>
  </r>
  <r>
    <x v="1"/>
    <n v="14.817725250000001"/>
    <n v="0.82369046679000002"/>
    <n v="0.31370477273000003"/>
    <x v="0"/>
    <s v="0345-0400"/>
  </r>
  <r>
    <x v="1"/>
    <n v="14.222560844"/>
    <n v="0.82383607463999997"/>
    <n v="0.34294388917000002"/>
    <x v="1"/>
    <s v="0400-0415"/>
  </r>
  <r>
    <x v="1"/>
    <n v="14.222560844"/>
    <n v="0.82383607463999997"/>
    <n v="0.34294388917000002"/>
    <x v="1"/>
    <s v="0415-0430"/>
  </r>
  <r>
    <x v="1"/>
    <n v="14.222560844"/>
    <n v="0.82383607463999997"/>
    <n v="0.34294388917000002"/>
    <x v="1"/>
    <s v="0430-0445"/>
  </r>
  <r>
    <x v="1"/>
    <n v="14.222560844"/>
    <n v="0.82383607463999997"/>
    <n v="0.34294388917000002"/>
    <x v="1"/>
    <s v="0445-0500"/>
  </r>
  <r>
    <x v="1"/>
    <n v="14.100423187000001"/>
    <n v="0.81270738454000002"/>
    <n v="0.35094079772999998"/>
    <x v="1"/>
    <s v="0500-0515"/>
  </r>
  <r>
    <x v="1"/>
    <n v="14.100423187000001"/>
    <n v="0.81270738454000002"/>
    <n v="0.35094079772999998"/>
    <x v="1"/>
    <s v="0515-0530"/>
  </r>
  <r>
    <x v="1"/>
    <n v="14.100423187000001"/>
    <n v="0.81270738454000002"/>
    <n v="0.35094079772999998"/>
    <x v="1"/>
    <s v="0530-0545"/>
  </r>
  <r>
    <x v="1"/>
    <n v="14.100423187000001"/>
    <n v="0.81270738454000002"/>
    <n v="0.35094079772999998"/>
    <x v="1"/>
    <s v="0545-0600"/>
  </r>
  <r>
    <x v="1"/>
    <n v="14.100423187000001"/>
    <n v="0.83032157156999997"/>
    <n v="0.42464363111999998"/>
    <x v="2"/>
    <s v="0600-0615"/>
  </r>
  <r>
    <x v="1"/>
    <n v="14.100423187000001"/>
    <n v="0.83032157156999997"/>
    <n v="0.42464363111999998"/>
    <x v="2"/>
    <s v="0615-0630"/>
  </r>
  <r>
    <x v="1"/>
    <n v="14.100423187000001"/>
    <n v="0.83032157156999997"/>
    <n v="0.42464363111999998"/>
    <x v="2"/>
    <s v="0630-0645"/>
  </r>
  <r>
    <x v="1"/>
    <n v="14.100423187000001"/>
    <n v="0.83032157156999997"/>
    <n v="0.42464363111999998"/>
    <x v="2"/>
    <s v="0645-0700"/>
  </r>
  <r>
    <x v="1"/>
    <n v="15.654210873"/>
    <n v="0.87480980418999998"/>
    <n v="0.78723024768000005"/>
    <x v="2"/>
    <s v="0700-0715"/>
  </r>
  <r>
    <x v="1"/>
    <n v="15.654210873"/>
    <n v="0.87480980418999998"/>
    <n v="0.78723024768000005"/>
    <x v="2"/>
    <s v="0715-0730"/>
  </r>
  <r>
    <x v="1"/>
    <n v="15.654210873"/>
    <n v="0.87480980418999998"/>
    <n v="0.78723024768000005"/>
    <x v="2"/>
    <s v="0730-0745"/>
  </r>
  <r>
    <x v="1"/>
    <n v="15.654210873"/>
    <n v="0.87480980418999998"/>
    <n v="0.78723024768000005"/>
    <x v="2"/>
    <s v="0745-0800"/>
  </r>
  <r>
    <x v="1"/>
    <n v="16.973668298"/>
    <n v="0.83193470753999998"/>
    <n v="0.78562846836"/>
    <x v="3"/>
    <s v="0800-0815"/>
  </r>
  <r>
    <x v="1"/>
    <n v="16.973668298"/>
    <n v="0.83193470753999998"/>
    <n v="0.78562846836"/>
    <x v="3"/>
    <s v="0815-0830"/>
  </r>
  <r>
    <x v="1"/>
    <n v="16.973668298"/>
    <n v="0.83193470753999998"/>
    <n v="0.78562846836"/>
    <x v="3"/>
    <s v="0830-0845"/>
  </r>
  <r>
    <x v="1"/>
    <n v="16.973668298"/>
    <n v="0.83193470753999998"/>
    <n v="0.78562846836"/>
    <x v="3"/>
    <s v="0845-0900"/>
  </r>
  <r>
    <x v="1"/>
    <n v="18.06286566"/>
    <n v="0.78689110401999995"/>
    <n v="0.78402668903999995"/>
    <x v="4"/>
    <s v="0900-0915"/>
  </r>
  <r>
    <x v="1"/>
    <n v="18.06286566"/>
    <n v="0.78689110401999995"/>
    <n v="0.78402668903999995"/>
    <x v="4"/>
    <s v="0915-0930"/>
  </r>
  <r>
    <x v="1"/>
    <n v="18.06286566"/>
    <n v="0.78689110401999995"/>
    <n v="0.78402668903999995"/>
    <x v="4"/>
    <s v="0930-0945"/>
  </r>
  <r>
    <x v="1"/>
    <n v="18.06286566"/>
    <n v="0.78689110401999995"/>
    <n v="0.78402668903999995"/>
    <x v="4"/>
    <s v="0945-1000"/>
  </r>
  <r>
    <x v="1"/>
    <n v="18.675409235"/>
    <n v="0.69824889915999999"/>
    <n v="0.78242490972000001"/>
    <x v="5"/>
    <s v="1000-1015"/>
  </r>
  <r>
    <x v="1"/>
    <n v="18.675409235"/>
    <n v="0.69824889915999999"/>
    <n v="0.78242490972000001"/>
    <x v="5"/>
    <s v="1015-1030"/>
  </r>
  <r>
    <x v="1"/>
    <n v="18.675409235"/>
    <n v="0.69824889915999999"/>
    <n v="0.78242490972000001"/>
    <x v="5"/>
    <s v="1030-1045"/>
  </r>
  <r>
    <x v="1"/>
    <n v="18.675409235"/>
    <n v="0.69824889915999999"/>
    <n v="0.78242490972000001"/>
    <x v="5"/>
    <s v="1045-1100"/>
  </r>
  <r>
    <x v="1"/>
    <n v="19.873627441"/>
    <n v="0.70825530259000002"/>
    <n v="0.78082313039999995"/>
    <x v="5"/>
    <s v="1100-1115"/>
  </r>
  <r>
    <x v="1"/>
    <n v="19.873627441"/>
    <n v="0.70825530259000002"/>
    <n v="0.78082313039999995"/>
    <x v="5"/>
    <s v="1115-1130"/>
  </r>
  <r>
    <x v="1"/>
    <n v="19.873627441"/>
    <n v="0.70825530259000002"/>
    <n v="0.78082313039999995"/>
    <x v="5"/>
    <s v="1130-1145"/>
  </r>
  <r>
    <x v="1"/>
    <n v="19.873627441"/>
    <n v="0.70825530259000002"/>
    <n v="0.78082313039999995"/>
    <x v="5"/>
    <s v="1145-1200"/>
  </r>
  <r>
    <x v="1"/>
    <n v="22.077073065"/>
    <n v="0.61805599042000003"/>
    <n v="0.78388516001999997"/>
    <x v="6"/>
    <s v="1200-1215"/>
  </r>
  <r>
    <x v="1"/>
    <n v="22.077073065"/>
    <n v="0.61805599042000003"/>
    <n v="0.78388516001999997"/>
    <x v="6"/>
    <s v="1215-1230"/>
  </r>
  <r>
    <x v="1"/>
    <n v="22.077073065"/>
    <n v="0.61805599042000003"/>
    <n v="0.78388516001999997"/>
    <x v="6"/>
    <s v="1230-1245"/>
  </r>
  <r>
    <x v="1"/>
    <n v="22.077073065"/>
    <n v="0.61805599042000003"/>
    <n v="0.78388516001999997"/>
    <x v="6"/>
    <s v="1245-1300"/>
  </r>
  <r>
    <x v="1"/>
    <n v="22.111233331000001"/>
    <n v="0.62220811137999998"/>
    <n v="0.71034484032"/>
    <x v="6"/>
    <s v="1300-1315"/>
  </r>
  <r>
    <x v="1"/>
    <n v="22.111233331000001"/>
    <n v="0.62220811137999998"/>
    <n v="0.71034484032"/>
    <x v="6"/>
    <s v="1315-1330"/>
  </r>
  <r>
    <x v="1"/>
    <n v="22.111233331000001"/>
    <n v="0.62220811137999998"/>
    <n v="0.71034484032"/>
    <x v="6"/>
    <s v="1330-1345"/>
  </r>
  <r>
    <x v="1"/>
    <n v="22.111233331000001"/>
    <n v="0.62220811137999998"/>
    <n v="0.71034484032"/>
    <x v="6"/>
    <s v="1345-1400"/>
  </r>
  <r>
    <x v="1"/>
    <n v="21.48120041"/>
    <n v="0.72761659212999996"/>
    <n v="0.77530798675000001"/>
    <x v="7"/>
    <s v="1400-1415"/>
  </r>
  <r>
    <x v="1"/>
    <n v="21.48120041"/>
    <n v="0.72761659212999996"/>
    <n v="0.77530798675000001"/>
    <x v="7"/>
    <s v="1415-1430"/>
  </r>
  <r>
    <x v="1"/>
    <n v="21.48120041"/>
    <n v="0.72761659212999996"/>
    <n v="0.77530798675000001"/>
    <x v="7"/>
    <s v="1430-1445"/>
  </r>
  <r>
    <x v="1"/>
    <n v="21.48120041"/>
    <n v="0.72761659212999996"/>
    <n v="0.77530798675000001"/>
    <x v="7"/>
    <s v="1445-1500"/>
  </r>
  <r>
    <x v="1"/>
    <n v="22.975303950000001"/>
    <n v="0.64921572859999999"/>
    <n v="0.69135994868999995"/>
    <x v="7"/>
    <s v="1500-1515"/>
  </r>
  <r>
    <x v="1"/>
    <n v="22.975303950000001"/>
    <n v="0.64921572859999999"/>
    <n v="0.69135994868999995"/>
    <x v="7"/>
    <s v="1515-1530"/>
  </r>
  <r>
    <x v="1"/>
    <n v="22.975303950000001"/>
    <n v="0.64921572859999999"/>
    <n v="0.69135994868999995"/>
    <x v="7"/>
    <s v="1530-1545"/>
  </r>
  <r>
    <x v="1"/>
    <n v="22.975303950000001"/>
    <n v="0.64921572859999999"/>
    <n v="0.69135994868999995"/>
    <x v="7"/>
    <s v="1545-1600"/>
  </r>
  <r>
    <x v="1"/>
    <n v="23.179102952000001"/>
    <n v="0.63838341572000001"/>
    <n v="0.70988262744999997"/>
    <x v="7"/>
    <s v="1600-1615"/>
  </r>
  <r>
    <x v="1"/>
    <n v="23.179102952000001"/>
    <n v="0.63838341572000001"/>
    <n v="0.70988262744999997"/>
    <x v="7"/>
    <s v="1615-1630"/>
  </r>
  <r>
    <x v="1"/>
    <n v="23.179102952000001"/>
    <n v="0.63838341572000001"/>
    <n v="0.70988262744999997"/>
    <x v="7"/>
    <s v="1630-1645"/>
  </r>
  <r>
    <x v="1"/>
    <n v="23.179102952000001"/>
    <n v="0.63838341572000001"/>
    <n v="0.70988262744999997"/>
    <x v="7"/>
    <s v="1645-1700"/>
  </r>
  <r>
    <x v="1"/>
    <n v="22.588656180000001"/>
    <n v="0.66500790890999995"/>
    <n v="0.69086792059000002"/>
    <x v="8"/>
    <s v="1700-1715"/>
  </r>
  <r>
    <x v="1"/>
    <n v="22.588656180000001"/>
    <n v="0.66500790890999995"/>
    <n v="0.69086792059000002"/>
    <x v="8"/>
    <s v="1715-1730"/>
  </r>
  <r>
    <x v="1"/>
    <n v="22.588656180000001"/>
    <n v="0.66500790890999995"/>
    <n v="0.69086792059000002"/>
    <x v="8"/>
    <s v="1730-1745"/>
  </r>
  <r>
    <x v="1"/>
    <n v="22.588656180000001"/>
    <n v="0.66500790890999995"/>
    <n v="0.69086792059000002"/>
    <x v="8"/>
    <s v="1745-1800"/>
  </r>
  <r>
    <x v="1"/>
    <n v="21.957087157"/>
    <n v="0.67410181397000002"/>
    <n v="0.50580013399000001"/>
    <x v="8"/>
    <s v="1800-1815"/>
  </r>
  <r>
    <x v="1"/>
    <n v="21.957087157"/>
    <n v="0.67410181397000002"/>
    <n v="0.50580013399000001"/>
    <x v="8"/>
    <s v="1815-1830"/>
  </r>
  <r>
    <x v="1"/>
    <n v="21.957087157"/>
    <n v="0.67410181397000002"/>
    <n v="0.50580013399000001"/>
    <x v="9"/>
    <s v="1830-1845"/>
  </r>
  <r>
    <x v="1"/>
    <n v="21.957087157"/>
    <n v="0.67410181397000002"/>
    <n v="0.50580013399000001"/>
    <x v="9"/>
    <s v="1845-1900"/>
  </r>
  <r>
    <x v="1"/>
    <n v="20.176121384000002"/>
    <n v="0.71811834605000002"/>
    <n v="0.51159685296000001"/>
    <x v="9"/>
    <s v="1900-1915"/>
  </r>
  <r>
    <x v="1"/>
    <n v="20.176121384000002"/>
    <n v="0.71811834605000002"/>
    <n v="0.51159685296000001"/>
    <x v="9"/>
    <s v="1915-1930"/>
  </r>
  <r>
    <x v="1"/>
    <n v="20.176121384000002"/>
    <n v="0.71811834605000002"/>
    <n v="0.51159685296000001"/>
    <x v="9"/>
    <s v="1930-1945"/>
  </r>
  <r>
    <x v="1"/>
    <n v="20.176121384000002"/>
    <n v="0.71811834605000002"/>
    <n v="0.51159685296000001"/>
    <x v="9"/>
    <s v="1945-2000"/>
  </r>
  <r>
    <x v="1"/>
    <n v="18.336299317999998"/>
    <n v="0.78334095023999994"/>
    <n v="0.48157131436"/>
    <x v="9"/>
    <s v="2000-2015"/>
  </r>
  <r>
    <x v="1"/>
    <n v="18.336299317999998"/>
    <n v="0.78334095023999994"/>
    <n v="0.48157131436"/>
    <x v="9"/>
    <s v="2015-2030"/>
  </r>
  <r>
    <x v="1"/>
    <n v="18.336299317999998"/>
    <n v="0.78334095023999994"/>
    <n v="0.48157131436"/>
    <x v="9"/>
    <s v="2030-2045"/>
  </r>
  <r>
    <x v="1"/>
    <n v="18.336299317999998"/>
    <n v="0.78334095023999994"/>
    <n v="0.48157131436"/>
    <x v="9"/>
    <s v="2045-2100"/>
  </r>
  <r>
    <x v="1"/>
    <n v="18.136190136"/>
    <n v="0.78454441639000005"/>
    <n v="0.70621738004000001"/>
    <x v="9"/>
    <s v="2100-2115"/>
  </r>
  <r>
    <x v="1"/>
    <n v="18.136190136"/>
    <n v="0.78454441639000005"/>
    <n v="0.70621738004000001"/>
    <x v="9"/>
    <s v="2115-2130"/>
  </r>
  <r>
    <x v="1"/>
    <n v="18.136190136"/>
    <n v="0.78454441639000005"/>
    <n v="0.70621738004000001"/>
    <x v="10"/>
    <s v="2130-2145"/>
  </r>
  <r>
    <x v="1"/>
    <n v="18.136190136"/>
    <n v="0.78454441639000005"/>
    <n v="0.70621738004000001"/>
    <x v="10"/>
    <s v="2145-2200"/>
  </r>
  <r>
    <x v="1"/>
    <n v="16.541025731000001"/>
    <n v="0.82070714622999996"/>
    <n v="0.70442935298999998"/>
    <x v="10"/>
    <s v="2200-2215"/>
  </r>
  <r>
    <x v="1"/>
    <n v="16.541025731000001"/>
    <n v="0.82070714622999996"/>
    <n v="0.70442935298999998"/>
    <x v="10"/>
    <s v="2215-2230"/>
  </r>
  <r>
    <x v="1"/>
    <n v="16.541025731000001"/>
    <n v="0.82070714622999996"/>
    <n v="0.70442935298999998"/>
    <x v="10"/>
    <s v="2230-2245"/>
  </r>
  <r>
    <x v="1"/>
    <n v="16.541025731000001"/>
    <n v="0.82070714622999996"/>
    <n v="0.70442935298999998"/>
    <x v="10"/>
    <s v="2245-2300"/>
  </r>
  <r>
    <x v="1"/>
    <n v="15.214161664000001"/>
    <n v="0.83046037824999996"/>
    <n v="0.75979997554000001"/>
    <x v="10"/>
    <s v="2300-2315"/>
  </r>
  <r>
    <x v="1"/>
    <n v="15.214161664000001"/>
    <n v="0.83046037824999996"/>
    <n v="0.75979997554000001"/>
    <x v="10"/>
    <s v="2315-2330"/>
  </r>
  <r>
    <x v="1"/>
    <n v="15.214161664000001"/>
    <n v="0.83046037824999996"/>
    <n v="0.75979997554000001"/>
    <x v="10"/>
    <s v="2330-2345"/>
  </r>
  <r>
    <x v="1"/>
    <n v="15.214161664000001"/>
    <n v="0.83046037824999996"/>
    <n v="0.75979997554000001"/>
    <x v="10"/>
    <s v="2345-2400"/>
  </r>
  <r>
    <x v="2"/>
    <n v="16.666144959"/>
    <n v="0.67852524269000003"/>
    <n v="0.99806499326999998"/>
    <x v="0"/>
    <s v="0000-0015"/>
  </r>
  <r>
    <x v="2"/>
    <n v="16.666144959"/>
    <n v="0.67852524269000003"/>
    <n v="0.99806499326999998"/>
    <x v="0"/>
    <s v="0015-0030"/>
  </r>
  <r>
    <x v="2"/>
    <n v="16.666144959"/>
    <n v="0.67852524269000003"/>
    <n v="0.99806499326999998"/>
    <x v="0"/>
    <s v="0030-0045"/>
  </r>
  <r>
    <x v="2"/>
    <n v="16.666144959"/>
    <n v="0.67852524269000003"/>
    <n v="0.99806499326999998"/>
    <x v="0"/>
    <s v="0045-0100"/>
  </r>
  <r>
    <x v="2"/>
    <n v="16.576947596"/>
    <n v="0.67435754588999997"/>
    <n v="0.98839821968999997"/>
    <x v="0"/>
    <s v="0100-0115"/>
  </r>
  <r>
    <x v="2"/>
    <n v="16.576947596"/>
    <n v="0.67435754588999997"/>
    <n v="0.98839821968999997"/>
    <x v="0"/>
    <s v="0115-0130"/>
  </r>
  <r>
    <x v="2"/>
    <n v="16.576947596"/>
    <n v="0.67435754588999997"/>
    <n v="0.98839821968999997"/>
    <x v="0"/>
    <s v="0130-0145"/>
  </r>
  <r>
    <x v="2"/>
    <n v="16.576947596"/>
    <n v="0.67435754588999997"/>
    <n v="0.98839821968999997"/>
    <x v="0"/>
    <s v="0145-0200"/>
  </r>
  <r>
    <x v="2"/>
    <n v="16.416769664"/>
    <n v="0.67480403472999995"/>
    <n v="0.98364005806999999"/>
    <x v="0"/>
    <s v="0200-0215"/>
  </r>
  <r>
    <x v="2"/>
    <n v="16.416769664"/>
    <n v="0.67480403472999995"/>
    <n v="0.98364005806999999"/>
    <x v="0"/>
    <s v="0215-0230"/>
  </r>
  <r>
    <x v="2"/>
    <n v="16.416769664"/>
    <n v="0.67480403472999995"/>
    <n v="0.98364005806999999"/>
    <x v="0"/>
    <s v="0230-0245"/>
  </r>
  <r>
    <x v="2"/>
    <n v="16.416769664"/>
    <n v="0.67480403472999995"/>
    <n v="0.98364005806999999"/>
    <x v="0"/>
    <s v="0245-0300"/>
  </r>
  <r>
    <x v="2"/>
    <n v="16.305475498"/>
    <n v="0.68388252011999995"/>
    <n v="0.97888189645000001"/>
    <x v="0"/>
    <s v="0300-0315"/>
  </r>
  <r>
    <x v="2"/>
    <n v="16.305475498"/>
    <n v="0.68388252011999995"/>
    <n v="0.97888189645000001"/>
    <x v="0"/>
    <s v="0315-0330"/>
  </r>
  <r>
    <x v="2"/>
    <n v="16.305475498"/>
    <n v="0.68388252011999995"/>
    <n v="0.97888189645000001"/>
    <x v="0"/>
    <s v="0330-0345"/>
  </r>
  <r>
    <x v="2"/>
    <n v="16.305475498"/>
    <n v="0.68388252011999995"/>
    <n v="0.97888189645000001"/>
    <x v="0"/>
    <s v="0345-0400"/>
  </r>
  <r>
    <x v="2"/>
    <n v="15.903811664999999"/>
    <n v="0.68122550898000001"/>
    <n v="0.97342291351999999"/>
    <x v="1"/>
    <s v="0400-0415"/>
  </r>
  <r>
    <x v="2"/>
    <n v="15.903811664999999"/>
    <n v="0.68122550898000001"/>
    <n v="0.97342291351999999"/>
    <x v="1"/>
    <s v="0415-0430"/>
  </r>
  <r>
    <x v="2"/>
    <n v="15.903811664999999"/>
    <n v="0.68122550898000001"/>
    <n v="0.97342291351999999"/>
    <x v="1"/>
    <s v="0430-0445"/>
  </r>
  <r>
    <x v="2"/>
    <n v="15.903811664999999"/>
    <n v="0.68122550898000001"/>
    <n v="0.97342291351999999"/>
    <x v="1"/>
    <s v="0445-0500"/>
  </r>
  <r>
    <x v="2"/>
    <n v="15.104303195"/>
    <n v="0.69675018206999995"/>
    <n v="0.96866475190000001"/>
    <x v="1"/>
    <s v="0500-0515"/>
  </r>
  <r>
    <x v="2"/>
    <n v="15.104303195"/>
    <n v="0.69675018206999995"/>
    <n v="0.96866475190000001"/>
    <x v="1"/>
    <s v="0515-0530"/>
  </r>
  <r>
    <x v="2"/>
    <n v="15.104303195"/>
    <n v="0.69675018206999995"/>
    <n v="0.96866475190000001"/>
    <x v="1"/>
    <s v="0530-0545"/>
  </r>
  <r>
    <x v="2"/>
    <n v="15.104303195"/>
    <n v="0.69675018206999995"/>
    <n v="0.96866475190000001"/>
    <x v="1"/>
    <s v="0545-0600"/>
  </r>
  <r>
    <x v="2"/>
    <n v="14.999999985000001"/>
    <n v="0.71525744577000006"/>
    <n v="0.96494962238000004"/>
    <x v="2"/>
    <s v="0600-0615"/>
  </r>
  <r>
    <x v="2"/>
    <n v="14.999999985000001"/>
    <n v="0.71525744577000006"/>
    <n v="0.96494962238000004"/>
    <x v="2"/>
    <s v="0615-0630"/>
  </r>
  <r>
    <x v="2"/>
    <n v="14.999999985000001"/>
    <n v="0.71525744577000006"/>
    <n v="0.96494962238000004"/>
    <x v="2"/>
    <s v="0630-0645"/>
  </r>
  <r>
    <x v="2"/>
    <n v="14.999999985000001"/>
    <n v="0.71525744577000006"/>
    <n v="0.96494962238000004"/>
    <x v="2"/>
    <s v="0645-0700"/>
  </r>
  <r>
    <x v="2"/>
    <n v="14.117802356"/>
    <n v="0.76827166815000003"/>
    <n v="0.96025915903000003"/>
    <x v="2"/>
    <s v="0700-0715"/>
  </r>
  <r>
    <x v="2"/>
    <n v="14.117802356"/>
    <n v="0.76827166815000003"/>
    <n v="0.96025915903000003"/>
    <x v="2"/>
    <s v="0715-0730"/>
  </r>
  <r>
    <x v="2"/>
    <n v="14.117802356"/>
    <n v="0.76827166815000003"/>
    <n v="0.96025915903000003"/>
    <x v="2"/>
    <s v="0730-0745"/>
  </r>
  <r>
    <x v="2"/>
    <n v="14.117802356"/>
    <n v="0.76827166815000003"/>
    <n v="0.96025915903000003"/>
    <x v="2"/>
    <s v="0745-0800"/>
  </r>
  <r>
    <x v="2"/>
    <n v="15.033322626"/>
    <n v="0.76358496520999997"/>
    <n v="0.95178394630999996"/>
    <x v="3"/>
    <s v="0800-0815"/>
  </r>
  <r>
    <x v="2"/>
    <n v="15.033322626"/>
    <n v="0.76358496520999997"/>
    <n v="0.95178394630999996"/>
    <x v="3"/>
    <s v="0815-0830"/>
  </r>
  <r>
    <x v="2"/>
    <n v="15.033322626"/>
    <n v="0.76358496520999997"/>
    <n v="0.95178394630999996"/>
    <x v="3"/>
    <s v="0830-0845"/>
  </r>
  <r>
    <x v="2"/>
    <n v="15.033322626"/>
    <n v="0.76358496520999997"/>
    <n v="0.95178394630999996"/>
    <x v="3"/>
    <s v="0845-0900"/>
  </r>
  <r>
    <x v="2"/>
    <n v="16.044548463000002"/>
    <n v="0.74774085823000003"/>
    <n v="0.95014397503000003"/>
    <x v="4"/>
    <s v="0900-0915"/>
  </r>
  <r>
    <x v="2"/>
    <n v="16.044548463000002"/>
    <n v="0.74774085823000003"/>
    <n v="0.95014397503000003"/>
    <x v="4"/>
    <s v="0915-0930"/>
  </r>
  <r>
    <x v="2"/>
    <n v="16.044548463000002"/>
    <n v="0.74774085823000003"/>
    <n v="0.95014397503000003"/>
    <x v="4"/>
    <s v="0930-0945"/>
  </r>
  <r>
    <x v="2"/>
    <n v="16.044548463000002"/>
    <n v="0.74774085823000003"/>
    <n v="0.95014397503000003"/>
    <x v="4"/>
    <s v="0945-1000"/>
  </r>
  <r>
    <x v="2"/>
    <n v="17.133745824999998"/>
    <n v="0.70968578937000004"/>
    <n v="0.94694940077"/>
    <x v="5"/>
    <s v="1000-1015"/>
  </r>
  <r>
    <x v="2"/>
    <n v="17.133745824999998"/>
    <n v="0.70968578937000004"/>
    <n v="0.94694940077"/>
    <x v="5"/>
    <s v="1015-1030"/>
  </r>
  <r>
    <x v="2"/>
    <n v="17.133745824999998"/>
    <n v="0.70968578937000004"/>
    <n v="0.94694940077"/>
    <x v="5"/>
    <s v="1030-1045"/>
  </r>
  <r>
    <x v="2"/>
    <n v="17.133745824999998"/>
    <n v="0.70968578937000004"/>
    <n v="0.94694940077"/>
    <x v="5"/>
    <s v="1045-1100"/>
  </r>
  <r>
    <x v="2"/>
    <n v="18.717684391999999"/>
    <n v="0.67487146706000001"/>
    <n v="0.94940496176"/>
    <x v="5"/>
    <s v="1100-1115"/>
  </r>
  <r>
    <x v="2"/>
    <n v="18.717684391999999"/>
    <n v="0.67487146706000001"/>
    <n v="0.94940496176"/>
    <x v="5"/>
    <s v="1115-1130"/>
  </r>
  <r>
    <x v="2"/>
    <n v="18.717684391999999"/>
    <n v="0.67487146706000001"/>
    <n v="0.94940496176"/>
    <x v="5"/>
    <s v="1130-1145"/>
  </r>
  <r>
    <x v="2"/>
    <n v="18.717684391999999"/>
    <n v="0.67487146706000001"/>
    <n v="0.94940496176"/>
    <x v="5"/>
    <s v="1145-1200"/>
  </r>
  <r>
    <x v="2"/>
    <n v="19.293923755000002"/>
    <n v="0.66550530445"/>
    <n v="0.95025874343000005"/>
    <x v="6"/>
    <s v="1200-1215"/>
  </r>
  <r>
    <x v="2"/>
    <n v="19.293923755000002"/>
    <n v="0.66550530445"/>
    <n v="0.95025874343000005"/>
    <x v="6"/>
    <s v="1215-1230"/>
  </r>
  <r>
    <x v="2"/>
    <n v="19.293923755000002"/>
    <n v="0.66550530445"/>
    <n v="0.95025874343000005"/>
    <x v="6"/>
    <s v="1230-1245"/>
  </r>
  <r>
    <x v="2"/>
    <n v="19.293923755000002"/>
    <n v="0.66550530445"/>
    <n v="0.95025874343000005"/>
    <x v="6"/>
    <s v="1245-1300"/>
  </r>
  <r>
    <x v="2"/>
    <n v="20.298641388"/>
    <n v="0.64705119339999995"/>
    <n v="0.81927660553000003"/>
    <x v="6"/>
    <s v="1300-1315"/>
  </r>
  <r>
    <x v="2"/>
    <n v="20.298641388"/>
    <n v="0.64705119339999995"/>
    <n v="0.81927660553000003"/>
    <x v="6"/>
    <s v="1315-1330"/>
  </r>
  <r>
    <x v="2"/>
    <n v="20.298641388"/>
    <n v="0.64705119339999995"/>
    <n v="0.81927660553000003"/>
    <x v="6"/>
    <s v="1330-1345"/>
  </r>
  <r>
    <x v="2"/>
    <n v="20.298641388"/>
    <n v="0.64705119339999995"/>
    <n v="0.81927660553000003"/>
    <x v="6"/>
    <s v="1345-1400"/>
  </r>
  <r>
    <x v="2"/>
    <n v="21.298641387"/>
    <n v="0.61872083955000001"/>
    <n v="0.78107515636000002"/>
    <x v="7"/>
    <s v="1400-1415"/>
  </r>
  <r>
    <x v="2"/>
    <n v="21.298641387"/>
    <n v="0.61872083955000001"/>
    <n v="0.78107515636000002"/>
    <x v="7"/>
    <s v="1415-1430"/>
  </r>
  <r>
    <x v="2"/>
    <n v="21.298641387"/>
    <n v="0.61872083955000001"/>
    <n v="0.78107515636000002"/>
    <x v="7"/>
    <s v="1430-1445"/>
  </r>
  <r>
    <x v="2"/>
    <n v="21.298641387"/>
    <n v="0.61872083955000001"/>
    <n v="0.78107515636000002"/>
    <x v="7"/>
    <s v="1445-1500"/>
  </r>
  <r>
    <x v="2"/>
    <n v="22.387838749"/>
    <n v="0.58841933076999997"/>
    <n v="0.73715023482999997"/>
    <x v="7"/>
    <s v="1500-1515"/>
  </r>
  <r>
    <x v="2"/>
    <n v="22.387838749"/>
    <n v="0.58841933076999997"/>
    <n v="0.73715023482999997"/>
    <x v="7"/>
    <s v="1515-1530"/>
  </r>
  <r>
    <x v="2"/>
    <n v="22.387838749"/>
    <n v="0.58841933076999997"/>
    <n v="0.73715023482999997"/>
    <x v="7"/>
    <s v="1530-1545"/>
  </r>
  <r>
    <x v="2"/>
    <n v="22.387838749"/>
    <n v="0.58841933076999997"/>
    <n v="0.73715023482999997"/>
    <x v="7"/>
    <s v="1545-1600"/>
  </r>
  <r>
    <x v="2"/>
    <n v="22.454101684000001"/>
    <n v="0.57526539543999999"/>
    <n v="0.70208799157000001"/>
    <x v="7"/>
    <s v="1600-1615"/>
  </r>
  <r>
    <x v="2"/>
    <n v="22.454101684000001"/>
    <n v="0.57526539543999999"/>
    <n v="0.70208799157000001"/>
    <x v="7"/>
    <s v="1615-1630"/>
  </r>
  <r>
    <x v="2"/>
    <n v="22.454101684000001"/>
    <n v="0.57526539543999999"/>
    <n v="0.70208799157000001"/>
    <x v="7"/>
    <s v="1630-1645"/>
  </r>
  <r>
    <x v="2"/>
    <n v="22.454101684000001"/>
    <n v="0.57526539543999999"/>
    <n v="0.70208799157000001"/>
    <x v="7"/>
    <s v="1645-1700"/>
  </r>
  <r>
    <x v="2"/>
    <n v="23.082206383999999"/>
    <n v="0.55534405372999995"/>
    <n v="0.66353613960000002"/>
    <x v="8"/>
    <s v="1700-1715"/>
  </r>
  <r>
    <x v="2"/>
    <n v="23.082206383999999"/>
    <n v="0.55534405372999995"/>
    <n v="0.66353613960000002"/>
    <x v="8"/>
    <s v="1715-1730"/>
  </r>
  <r>
    <x v="2"/>
    <n v="23.082206383999999"/>
    <n v="0.55534405372999995"/>
    <n v="0.66353613960000002"/>
    <x v="8"/>
    <s v="1730-1745"/>
  </r>
  <r>
    <x v="2"/>
    <n v="23.082206383999999"/>
    <n v="0.55534405372999995"/>
    <n v="0.66353613960000002"/>
    <x v="8"/>
    <s v="1745-1800"/>
  </r>
  <r>
    <x v="2"/>
    <n v="21.599882018999999"/>
    <n v="0.59840425944999998"/>
    <n v="0.62847389633999995"/>
    <x v="8"/>
    <s v="1800-1815"/>
  </r>
  <r>
    <x v="2"/>
    <n v="21.599882018999999"/>
    <n v="0.59840425944999998"/>
    <n v="0.62847389633999995"/>
    <x v="8"/>
    <s v="1815-1830"/>
  </r>
  <r>
    <x v="2"/>
    <n v="21.599882018999999"/>
    <n v="0.59840425944999998"/>
    <n v="0.62847389633999995"/>
    <x v="9"/>
    <s v="1830-1845"/>
  </r>
  <r>
    <x v="2"/>
    <n v="21.599882018999999"/>
    <n v="0.59840425944999998"/>
    <n v="0.62847389633999995"/>
    <x v="9"/>
    <s v="1845-1900"/>
  </r>
  <r>
    <x v="2"/>
    <n v="19.844539682000001"/>
    <n v="0.64259314031000003"/>
    <n v="0.49930330517999999"/>
    <x v="9"/>
    <s v="1900-1915"/>
  </r>
  <r>
    <x v="2"/>
    <n v="19.844539682000001"/>
    <n v="0.64259314031000003"/>
    <n v="0.49930330517999999"/>
    <x v="9"/>
    <s v="1915-1930"/>
  </r>
  <r>
    <x v="2"/>
    <n v="19.844539682000001"/>
    <n v="0.64259314031000003"/>
    <n v="0.49930330517999999"/>
    <x v="9"/>
    <s v="1930-1945"/>
  </r>
  <r>
    <x v="2"/>
    <n v="19.844539682000001"/>
    <n v="0.64259314031000003"/>
    <n v="0.49930330517999999"/>
    <x v="9"/>
    <s v="1945-2000"/>
  </r>
  <r>
    <x v="2"/>
    <n v="18.331581684"/>
    <n v="0.68924050779000001"/>
    <n v="0.39199914470000002"/>
    <x v="9"/>
    <s v="2000-2015"/>
  </r>
  <r>
    <x v="2"/>
    <n v="18.331581684"/>
    <n v="0.68924050779000001"/>
    <n v="0.39199914470000002"/>
    <x v="9"/>
    <s v="2015-2030"/>
  </r>
  <r>
    <x v="2"/>
    <n v="18.331581684"/>
    <n v="0.68924050779000001"/>
    <n v="0.39199914470000002"/>
    <x v="9"/>
    <s v="2030-2045"/>
  </r>
  <r>
    <x v="2"/>
    <n v="18.331581684"/>
    <n v="0.68924050779000001"/>
    <n v="0.39199914470000002"/>
    <x v="9"/>
    <s v="2045-2100"/>
  </r>
  <r>
    <x v="2"/>
    <n v="17.171403753"/>
    <n v="0.71671184124999998"/>
    <n v="0.29765928816999998"/>
    <x v="9"/>
    <s v="2100-2115"/>
  </r>
  <r>
    <x v="2"/>
    <n v="17.171403753"/>
    <n v="0.71671184124999998"/>
    <n v="0.29765928816999998"/>
    <x v="9"/>
    <s v="2115-2130"/>
  </r>
  <r>
    <x v="2"/>
    <n v="17.171403753"/>
    <n v="0.71671184124999998"/>
    <n v="0.29765928816999998"/>
    <x v="10"/>
    <s v="2130-2145"/>
  </r>
  <r>
    <x v="2"/>
    <n v="17.171403753"/>
    <n v="0.71671184124999998"/>
    <n v="0.29765928816999998"/>
    <x v="10"/>
    <s v="2145-2200"/>
  </r>
  <r>
    <x v="2"/>
    <n v="16.401663816999999"/>
    <n v="0.73646841472000002"/>
    <n v="0.20417968767"/>
    <x v="10"/>
    <s v="2200-2215"/>
  </r>
  <r>
    <x v="2"/>
    <n v="16.401663816999999"/>
    <n v="0.73646841472000002"/>
    <n v="0.20417968767"/>
    <x v="10"/>
    <s v="2215-2230"/>
  </r>
  <r>
    <x v="2"/>
    <n v="16.401663816999999"/>
    <n v="0.73646841472000002"/>
    <n v="0.20417968767"/>
    <x v="10"/>
    <s v="2230-2245"/>
  </r>
  <r>
    <x v="2"/>
    <n v="16.401663816999999"/>
    <n v="0.73646841472000002"/>
    <n v="0.20417968767"/>
    <x v="10"/>
    <s v="2245-2300"/>
  </r>
  <r>
    <x v="2"/>
    <n v="15.755342323000001"/>
    <n v="0.74256403475999999"/>
    <n v="0.11073180477"/>
    <x v="10"/>
    <s v="2300-2315"/>
  </r>
  <r>
    <x v="2"/>
    <n v="15.755342323000001"/>
    <n v="0.74256403475999999"/>
    <n v="0.11073180477"/>
    <x v="10"/>
    <s v="2315-2330"/>
  </r>
  <r>
    <x v="2"/>
    <n v="15.755342323000001"/>
    <n v="0.74256403475999999"/>
    <n v="0.11073180477"/>
    <x v="10"/>
    <s v="2330-2345"/>
  </r>
  <r>
    <x v="2"/>
    <n v="15.755342323000001"/>
    <n v="0.74256403475999999"/>
    <n v="0.11073180477"/>
    <x v="10"/>
    <s v="2345-2400"/>
  </r>
  <r>
    <x v="3"/>
    <n v="16.981783189000001"/>
    <n v="0.78276132026"/>
    <n v="0.70241666375"/>
    <x v="0"/>
    <s v="0000-0015"/>
  </r>
  <r>
    <x v="3"/>
    <n v="16.981783189000001"/>
    <n v="0.78276132026"/>
    <n v="0.70241666375"/>
    <x v="0"/>
    <s v="0015-0030"/>
  </r>
  <r>
    <x v="3"/>
    <n v="16.981783189000001"/>
    <n v="0.78276132026"/>
    <n v="0.70241666375"/>
    <x v="0"/>
    <s v="0030-0045"/>
  </r>
  <r>
    <x v="3"/>
    <n v="16.981783189000001"/>
    <n v="0.78276132026"/>
    <n v="0.70241666375"/>
    <x v="0"/>
    <s v="0045-0100"/>
  </r>
  <r>
    <x v="3"/>
    <n v="16.561004124"/>
    <n v="0.81175200534000003"/>
    <n v="0.69387576086000002"/>
    <x v="0"/>
    <s v="0100-0115"/>
  </r>
  <r>
    <x v="3"/>
    <n v="16.561004124"/>
    <n v="0.81175200534000003"/>
    <n v="0.69387576086000002"/>
    <x v="0"/>
    <s v="0115-0130"/>
  </r>
  <r>
    <x v="3"/>
    <n v="16.561004124"/>
    <n v="0.81175200534000003"/>
    <n v="0.69387576086000002"/>
    <x v="0"/>
    <s v="0130-0145"/>
  </r>
  <r>
    <x v="3"/>
    <n v="16.561004124"/>
    <n v="0.81175200534000003"/>
    <n v="0.69387576086000002"/>
    <x v="0"/>
    <s v="0145-0200"/>
  </r>
  <r>
    <x v="3"/>
    <n v="16.557124115000001"/>
    <n v="0.79907768448000005"/>
    <n v="0.69347239696999996"/>
    <x v="0"/>
    <s v="0200-0215"/>
  </r>
  <r>
    <x v="3"/>
    <n v="16.557124115000001"/>
    <n v="0.79907768448000005"/>
    <n v="0.69347239696999996"/>
    <x v="0"/>
    <s v="0215-0230"/>
  </r>
  <r>
    <x v="3"/>
    <n v="16.557124115000001"/>
    <n v="0.79907768448000005"/>
    <n v="0.69347239696999996"/>
    <x v="0"/>
    <s v="0230-0245"/>
  </r>
  <r>
    <x v="3"/>
    <n v="16.557124115000001"/>
    <n v="0.79907768448000005"/>
    <n v="0.69347239696999996"/>
    <x v="0"/>
    <s v="0245-0300"/>
  </r>
  <r>
    <x v="3"/>
    <n v="16.144234443999999"/>
    <n v="0.84725832221999997"/>
    <n v="0.72717831543"/>
    <x v="0"/>
    <s v="0300-0315"/>
  </r>
  <r>
    <x v="3"/>
    <n v="16.144234443999999"/>
    <n v="0.84725832221999997"/>
    <n v="0.72717831543"/>
    <x v="0"/>
    <s v="0315-0330"/>
  </r>
  <r>
    <x v="3"/>
    <n v="16.144234443999999"/>
    <n v="0.84725832221999997"/>
    <n v="0.72717831543"/>
    <x v="0"/>
    <s v="0330-0345"/>
  </r>
  <r>
    <x v="3"/>
    <n v="16.144234443999999"/>
    <n v="0.84725832221999997"/>
    <n v="0.72717831543"/>
    <x v="0"/>
    <s v="0345-0400"/>
  </r>
  <r>
    <x v="3"/>
    <n v="15.795273572999999"/>
    <n v="0.86629161149"/>
    <n v="0.75566307696000001"/>
    <x v="1"/>
    <s v="0400-0415"/>
  </r>
  <r>
    <x v="3"/>
    <n v="15.795273572999999"/>
    <n v="0.86629161149"/>
    <n v="0.75566307696000001"/>
    <x v="1"/>
    <s v="0415-0430"/>
  </r>
  <r>
    <x v="3"/>
    <n v="15.795273572999999"/>
    <n v="0.86629161149"/>
    <n v="0.75566307696000001"/>
    <x v="1"/>
    <s v="0430-0445"/>
  </r>
  <r>
    <x v="3"/>
    <n v="15.795273572999999"/>
    <n v="0.86629161149"/>
    <n v="0.75566307696000001"/>
    <x v="1"/>
    <s v="0445-0500"/>
  </r>
  <r>
    <x v="3"/>
    <n v="15.077971509999999"/>
    <n v="0.87441019391999997"/>
    <n v="0.76437630400000001"/>
    <x v="1"/>
    <s v="0500-0515"/>
  </r>
  <r>
    <x v="3"/>
    <n v="15.077971509999999"/>
    <n v="0.87441019391999997"/>
    <n v="0.76437630400000001"/>
    <x v="1"/>
    <s v="0515-0530"/>
  </r>
  <r>
    <x v="3"/>
    <n v="15.077971509999999"/>
    <n v="0.87441019391999997"/>
    <n v="0.76437630400000001"/>
    <x v="1"/>
    <s v="0530-0545"/>
  </r>
  <r>
    <x v="3"/>
    <n v="15.077971509999999"/>
    <n v="0.87441019391999997"/>
    <n v="0.76437630400000001"/>
    <x v="1"/>
    <s v="0545-0600"/>
  </r>
  <r>
    <x v="3"/>
    <n v="14.565013511"/>
    <n v="0.87861980842999998"/>
    <n v="0.90189065974000004"/>
    <x v="2"/>
    <s v="0600-0615"/>
  </r>
  <r>
    <x v="3"/>
    <n v="14.565013511"/>
    <n v="0.87861980842999998"/>
    <n v="0.90189065974000004"/>
    <x v="2"/>
    <s v="0615-0630"/>
  </r>
  <r>
    <x v="3"/>
    <n v="14.565013511"/>
    <n v="0.87861980842999998"/>
    <n v="0.90189065974000004"/>
    <x v="2"/>
    <s v="0630-0645"/>
  </r>
  <r>
    <x v="3"/>
    <n v="14.565013511"/>
    <n v="0.87861980842999998"/>
    <n v="0.90189065974000004"/>
    <x v="2"/>
    <s v="0645-0700"/>
  </r>
  <r>
    <x v="3"/>
    <n v="17.799991205000001"/>
    <n v="0.81088405564999999"/>
    <n v="0.69409763739999997"/>
    <x v="2"/>
    <s v="0700-0715"/>
  </r>
  <r>
    <x v="3"/>
    <n v="17.799991205000001"/>
    <n v="0.81088405564999999"/>
    <n v="0.69409763739999997"/>
    <x v="2"/>
    <s v="0715-0730"/>
  </r>
  <r>
    <x v="3"/>
    <n v="17.799991205000001"/>
    <n v="0.81088405564999999"/>
    <n v="0.69409763739999997"/>
    <x v="2"/>
    <s v="0730-0745"/>
  </r>
  <r>
    <x v="3"/>
    <n v="17.799991205000001"/>
    <n v="0.81088405564999999"/>
    <n v="0.69409763739999997"/>
    <x v="2"/>
    <s v="0745-0800"/>
  </r>
  <r>
    <x v="3"/>
    <n v="18.799991204000001"/>
    <n v="0.76937180152999995"/>
    <n v="0.60158733566"/>
    <x v="3"/>
    <s v="0800-0815"/>
  </r>
  <r>
    <x v="3"/>
    <n v="18.799991204000001"/>
    <n v="0.76937180152999995"/>
    <n v="0.60158733566"/>
    <x v="3"/>
    <s v="0815-0830"/>
  </r>
  <r>
    <x v="3"/>
    <n v="18.799991204000001"/>
    <n v="0.76937180152999995"/>
    <n v="0.60158733566"/>
    <x v="3"/>
    <s v="0830-0845"/>
  </r>
  <r>
    <x v="3"/>
    <n v="18.799991204000001"/>
    <n v="0.76937180152999995"/>
    <n v="0.60158733566"/>
    <x v="3"/>
    <s v="0845-0900"/>
  </r>
  <r>
    <x v="3"/>
    <n v="19.855865925"/>
    <n v="0.72897248907000001"/>
    <n v="0.51065939046999997"/>
    <x v="4"/>
    <s v="0900-0915"/>
  </r>
  <r>
    <x v="3"/>
    <n v="19.855865925"/>
    <n v="0.72897248907000001"/>
    <n v="0.51065939046999997"/>
    <x v="4"/>
    <s v="0915-0930"/>
  </r>
  <r>
    <x v="3"/>
    <n v="19.855865925"/>
    <n v="0.72897248907000001"/>
    <n v="0.51065939046999997"/>
    <x v="4"/>
    <s v="0930-0945"/>
  </r>
  <r>
    <x v="3"/>
    <n v="19.855865925"/>
    <n v="0.72897248907000001"/>
    <n v="0.51065939046999997"/>
    <x v="4"/>
    <s v="0945-1000"/>
  </r>
  <r>
    <x v="3"/>
    <n v="20.684462153999998"/>
    <n v="0.69574619723999998"/>
    <n v="0.50805337914000004"/>
    <x v="5"/>
    <s v="1000-1015"/>
  </r>
  <r>
    <x v="3"/>
    <n v="20.684462153999998"/>
    <n v="0.69574619723999998"/>
    <n v="0.50805337914000004"/>
    <x v="5"/>
    <s v="1015-1030"/>
  </r>
  <r>
    <x v="3"/>
    <n v="20.684462153999998"/>
    <n v="0.69574619723999998"/>
    <n v="0.50805337914000004"/>
    <x v="5"/>
    <s v="1030-1045"/>
  </r>
  <r>
    <x v="3"/>
    <n v="20.684462153999998"/>
    <n v="0.69574619723999998"/>
    <n v="0.50805337914000004"/>
    <x v="5"/>
    <s v="1045-1100"/>
  </r>
  <r>
    <x v="3"/>
    <n v="21.773659515999999"/>
    <n v="0.66906201429000001"/>
    <n v="0.50805337914000004"/>
    <x v="5"/>
    <s v="1100-1115"/>
  </r>
  <r>
    <x v="3"/>
    <n v="21.773659515999999"/>
    <n v="0.66906201429000001"/>
    <n v="0.50805337914000004"/>
    <x v="5"/>
    <s v="1115-1130"/>
  </r>
  <r>
    <x v="3"/>
    <n v="21.773659515999999"/>
    <n v="0.66906201429000001"/>
    <n v="0.50805337914000004"/>
    <x v="5"/>
    <s v="1130-1145"/>
  </r>
  <r>
    <x v="3"/>
    <n v="21.773659515999999"/>
    <n v="0.66906201429000001"/>
    <n v="0.50805337914000004"/>
    <x v="5"/>
    <s v="1145-1200"/>
  </r>
  <r>
    <x v="3"/>
    <n v="22.973668291999999"/>
    <n v="0.56331100915999999"/>
    <n v="0.50805337914000004"/>
    <x v="6"/>
    <s v="1200-1215"/>
  </r>
  <r>
    <x v="3"/>
    <n v="22.973668291999999"/>
    <n v="0.56331100915999999"/>
    <n v="0.50805337914000004"/>
    <x v="6"/>
    <s v="1215-1230"/>
  </r>
  <r>
    <x v="3"/>
    <n v="22.973668291999999"/>
    <n v="0.56331100915999999"/>
    <n v="0.50805337914000004"/>
    <x v="6"/>
    <s v="1230-1245"/>
  </r>
  <r>
    <x v="3"/>
    <n v="22.973668291999999"/>
    <n v="0.56331100915999999"/>
    <n v="0.50805337914000004"/>
    <x v="6"/>
    <s v="1245-1300"/>
  </r>
  <r>
    <x v="3"/>
    <n v="23.493134495"/>
    <n v="0.56325215514000004"/>
    <n v="0.38631815081999998"/>
    <x v="6"/>
    <s v="1300-1315"/>
  </r>
  <r>
    <x v="3"/>
    <n v="23.493134495"/>
    <n v="0.56325215514000004"/>
    <n v="0.38631815081999998"/>
    <x v="6"/>
    <s v="1315-1330"/>
  </r>
  <r>
    <x v="3"/>
    <n v="23.493134495"/>
    <n v="0.56325215514000004"/>
    <n v="0.38631815081999998"/>
    <x v="6"/>
    <s v="1330-1345"/>
  </r>
  <r>
    <x v="3"/>
    <n v="23.493134495"/>
    <n v="0.56325215514000004"/>
    <n v="0.38631815081999998"/>
    <x v="6"/>
    <s v="1345-1400"/>
  </r>
  <r>
    <x v="3"/>
    <n v="24.262874431"/>
    <n v="0.53974708771000002"/>
    <n v="0.44238042702000002"/>
    <x v="7"/>
    <s v="1400-1415"/>
  </r>
  <r>
    <x v="3"/>
    <n v="24.262874431"/>
    <n v="0.53974708771000002"/>
    <n v="0.44238042702000002"/>
    <x v="7"/>
    <s v="1415-1430"/>
  </r>
  <r>
    <x v="3"/>
    <n v="24.262874431"/>
    <n v="0.53974708771000002"/>
    <n v="0.44238042702000002"/>
    <x v="7"/>
    <s v="1430-1445"/>
  </r>
  <r>
    <x v="3"/>
    <n v="24.262874431"/>
    <n v="0.53974708771000002"/>
    <n v="0.44238042702000002"/>
    <x v="7"/>
    <s v="1445-1500"/>
  </r>
  <r>
    <x v="3"/>
    <n v="23.929019406999998"/>
    <n v="0.53772800744000004"/>
    <n v="0.32762529316"/>
    <x v="7"/>
    <s v="1500-1515"/>
  </r>
  <r>
    <x v="3"/>
    <n v="23.929019406999998"/>
    <n v="0.53772800744000004"/>
    <n v="0.32762529316"/>
    <x v="7"/>
    <s v="1515-1530"/>
  </r>
  <r>
    <x v="3"/>
    <n v="23.929019406999998"/>
    <n v="0.53772800744000004"/>
    <n v="0.32762529316"/>
    <x v="7"/>
    <s v="1530-1545"/>
  </r>
  <r>
    <x v="3"/>
    <n v="23.929019406999998"/>
    <n v="0.53772800744000004"/>
    <n v="0.32762529316"/>
    <x v="7"/>
    <s v="1545-1600"/>
  </r>
  <r>
    <x v="3"/>
    <n v="23.750624681000001"/>
    <n v="0.54888445058000002"/>
    <n v="0.45192978894000002"/>
    <x v="7"/>
    <s v="1600-1615"/>
  </r>
  <r>
    <x v="3"/>
    <n v="23.750624681000001"/>
    <n v="0.54888445058000002"/>
    <n v="0.45192978894000002"/>
    <x v="7"/>
    <s v="1615-1630"/>
  </r>
  <r>
    <x v="3"/>
    <n v="23.750624681000001"/>
    <n v="0.54888445058000002"/>
    <n v="0.45192978894000002"/>
    <x v="7"/>
    <s v="1630-1645"/>
  </r>
  <r>
    <x v="3"/>
    <n v="23.750624681000001"/>
    <n v="0.54888445058000002"/>
    <n v="0.45192978894000002"/>
    <x v="7"/>
    <s v="1645-1700"/>
  </r>
  <r>
    <x v="3"/>
    <n v="23.204726388000001"/>
    <n v="0.55652669327000004"/>
    <n v="0.45292940511000002"/>
    <x v="8"/>
    <s v="1700-1715"/>
  </r>
  <r>
    <x v="3"/>
    <n v="23.204726388000001"/>
    <n v="0.55652669327000004"/>
    <n v="0.45292940511000002"/>
    <x v="8"/>
    <s v="1715-1730"/>
  </r>
  <r>
    <x v="3"/>
    <n v="23.204726388000001"/>
    <n v="0.55652669327000004"/>
    <n v="0.45292940511000002"/>
    <x v="8"/>
    <s v="1730-1745"/>
  </r>
  <r>
    <x v="3"/>
    <n v="23.204726388000001"/>
    <n v="0.55652669327000004"/>
    <n v="0.45292940511000002"/>
    <x v="8"/>
    <s v="1745-1800"/>
  </r>
  <r>
    <x v="3"/>
    <n v="22.877862319999998"/>
    <n v="0.58344792608999996"/>
    <n v="0.31299572034000001"/>
    <x v="8"/>
    <s v="1800-1815"/>
  </r>
  <r>
    <x v="3"/>
    <n v="22.877862319999998"/>
    <n v="0.58344792608999996"/>
    <n v="0.31299572034000001"/>
    <x v="8"/>
    <s v="1815-1830"/>
  </r>
  <r>
    <x v="3"/>
    <n v="22.877862319999998"/>
    <n v="0.58344792608999996"/>
    <n v="0.31299572034000001"/>
    <x v="9"/>
    <s v="1830-1845"/>
  </r>
  <r>
    <x v="3"/>
    <n v="22.877862319999998"/>
    <n v="0.58344792608999996"/>
    <n v="0.31299572034000001"/>
    <x v="9"/>
    <s v="1845-1900"/>
  </r>
  <r>
    <x v="3"/>
    <n v="21.434986453"/>
    <n v="0.63996375296999997"/>
    <n v="0.24946063330000001"/>
    <x v="9"/>
    <s v="1900-1915"/>
  </r>
  <r>
    <x v="3"/>
    <n v="21.434986453"/>
    <n v="0.63996375296999997"/>
    <n v="0.24946063330000001"/>
    <x v="9"/>
    <s v="1915-1930"/>
  </r>
  <r>
    <x v="3"/>
    <n v="21.434986453"/>
    <n v="0.63996375296999997"/>
    <n v="0.24946063330000001"/>
    <x v="9"/>
    <s v="1930-1945"/>
  </r>
  <r>
    <x v="3"/>
    <n v="21.434986453"/>
    <n v="0.63996375296999997"/>
    <n v="0.24946063330000001"/>
    <x v="9"/>
    <s v="1945-2000"/>
  </r>
  <r>
    <x v="3"/>
    <n v="19.769739916999999"/>
    <n v="0.69956791111000005"/>
    <n v="0.30653857189"/>
    <x v="9"/>
    <s v="2000-2015"/>
  </r>
  <r>
    <x v="3"/>
    <n v="19.769739916999999"/>
    <n v="0.69956791111000005"/>
    <n v="0.30653857189"/>
    <x v="9"/>
    <s v="2015-2030"/>
  </r>
  <r>
    <x v="3"/>
    <n v="19.769739916999999"/>
    <n v="0.69956791111000005"/>
    <n v="0.30653857189"/>
    <x v="9"/>
    <s v="2030-2045"/>
  </r>
  <r>
    <x v="3"/>
    <n v="19.769739916999999"/>
    <n v="0.69956791111000005"/>
    <n v="0.30653857189"/>
    <x v="9"/>
    <s v="2045-2100"/>
  </r>
  <r>
    <x v="3"/>
    <n v="18.595164388000001"/>
    <n v="0.77445802467000002"/>
    <n v="0.20346607172"/>
    <x v="9"/>
    <s v="2100-2115"/>
  </r>
  <r>
    <x v="3"/>
    <n v="18.595164388000001"/>
    <n v="0.77445802467000002"/>
    <n v="0.20346607172"/>
    <x v="9"/>
    <s v="2115-2130"/>
  </r>
  <r>
    <x v="3"/>
    <n v="18.595164388000001"/>
    <n v="0.77445802467000002"/>
    <n v="0.20346607172"/>
    <x v="10"/>
    <s v="2130-2145"/>
  </r>
  <r>
    <x v="3"/>
    <n v="18.595164388000001"/>
    <n v="0.77445802467000002"/>
    <n v="0.20346607172"/>
    <x v="10"/>
    <s v="2145-2200"/>
  </r>
  <r>
    <x v="3"/>
    <n v="17.595164389000001"/>
    <n v="0.78799119792000005"/>
    <n v="0.31153595645999999"/>
    <x v="10"/>
    <s v="2200-2215"/>
  </r>
  <r>
    <x v="3"/>
    <n v="17.595164389000001"/>
    <n v="0.78799119792000005"/>
    <n v="0.31153595645999999"/>
    <x v="10"/>
    <s v="2215-2230"/>
  </r>
  <r>
    <x v="3"/>
    <n v="17.595164389000001"/>
    <n v="0.78799119792000005"/>
    <n v="0.31153595645999999"/>
    <x v="10"/>
    <s v="2230-2245"/>
  </r>
  <r>
    <x v="3"/>
    <n v="17.595164389000001"/>
    <n v="0.78799119792000005"/>
    <n v="0.31153595645999999"/>
    <x v="10"/>
    <s v="2245-2300"/>
  </r>
  <r>
    <x v="3"/>
    <n v="16.910802619999998"/>
    <n v="0.79486845479000001"/>
    <n v="0.36114195344"/>
    <x v="10"/>
    <s v="2300-2315"/>
  </r>
  <r>
    <x v="3"/>
    <n v="16.910802619999998"/>
    <n v="0.79486845479000001"/>
    <n v="0.36114195344"/>
    <x v="10"/>
    <s v="2315-2330"/>
  </r>
  <r>
    <x v="3"/>
    <n v="16.910802619999998"/>
    <n v="0.79486845479000001"/>
    <n v="0.36114195344"/>
    <x v="10"/>
    <s v="2330-2345"/>
  </r>
  <r>
    <x v="3"/>
    <n v="16.910802619999998"/>
    <n v="0.79486845479000001"/>
    <n v="0.36114195344"/>
    <x v="10"/>
    <s v="2345-24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4">
  <r>
    <x v="0"/>
    <n v="14.207707967999999"/>
    <n v="0.85480074839999998"/>
    <n v="0.29608653734000001"/>
    <x v="0"/>
    <s v="0000-0015"/>
  </r>
  <r>
    <x v="0"/>
    <n v="14.207707967999999"/>
    <n v="0.85480074839999998"/>
    <n v="0.29608653734000001"/>
    <x v="0"/>
    <s v="0015-0030"/>
  </r>
  <r>
    <x v="0"/>
    <n v="14.207707967999999"/>
    <n v="0.85480074839999998"/>
    <n v="0.29608653734000001"/>
    <x v="0"/>
    <s v="0030-0045"/>
  </r>
  <r>
    <x v="0"/>
    <n v="14.207707967999999"/>
    <n v="0.85480074839999998"/>
    <n v="0.29608653734000001"/>
    <x v="0"/>
    <s v="0045-0100"/>
  </r>
  <r>
    <x v="0"/>
    <n v="13.802872375"/>
    <n v="0.85200540389000001"/>
    <n v="0.32796055480000003"/>
    <x v="0"/>
    <s v="0100-0115"/>
  </r>
  <r>
    <x v="0"/>
    <n v="13.802872375"/>
    <n v="0.85200540389000001"/>
    <n v="0.32796055480000003"/>
    <x v="0"/>
    <s v="0115-0130"/>
  </r>
  <r>
    <x v="0"/>
    <n v="13.802872375"/>
    <n v="0.85200540389000001"/>
    <n v="0.32796055480000003"/>
    <x v="0"/>
    <s v="0130-0145"/>
  </r>
  <r>
    <x v="0"/>
    <n v="13.802872375"/>
    <n v="0.85200540389000001"/>
    <n v="0.32796055480000003"/>
    <x v="0"/>
    <s v="0145-0200"/>
  </r>
  <r>
    <x v="0"/>
    <n v="14.090987919"/>
    <n v="0.76601944423000001"/>
    <n v="0.35948153826000001"/>
    <x v="0"/>
    <s v="0200-0215"/>
  </r>
  <r>
    <x v="0"/>
    <n v="14.090987919"/>
    <n v="0.76601944423000001"/>
    <n v="0.35948153826000001"/>
    <x v="0"/>
    <s v="0215-0230"/>
  </r>
  <r>
    <x v="0"/>
    <n v="14.090987919"/>
    <n v="0.76601944423000001"/>
    <n v="0.35948153826000001"/>
    <x v="0"/>
    <s v="0230-0245"/>
  </r>
  <r>
    <x v="0"/>
    <n v="14.090987919"/>
    <n v="0.76601944423000001"/>
    <n v="0.35948153826000001"/>
    <x v="0"/>
    <s v="0245-0300"/>
  </r>
  <r>
    <x v="0"/>
    <n v="12.47655337"/>
    <n v="0.82156173273999999"/>
    <n v="0.27426833693000002"/>
    <x v="0"/>
    <s v="0300-0315"/>
  </r>
  <r>
    <x v="0"/>
    <n v="12.47655337"/>
    <n v="0.82156173273999999"/>
    <n v="0.27426833693000002"/>
    <x v="0"/>
    <s v="0315-0330"/>
  </r>
  <r>
    <x v="0"/>
    <n v="12.47655337"/>
    <n v="0.82156173273999999"/>
    <n v="0.27426833693000002"/>
    <x v="0"/>
    <s v="0330-0345"/>
  </r>
  <r>
    <x v="0"/>
    <n v="12.47655337"/>
    <n v="0.82156173273999999"/>
    <n v="0.27426833693000002"/>
    <x v="0"/>
    <s v="0345-0400"/>
  </r>
  <r>
    <x v="0"/>
    <n v="12.744853708000001"/>
    <n v="0.81705786451999995"/>
    <n v="0.32319258312999999"/>
    <x v="1"/>
    <s v="0400-0415"/>
  </r>
  <r>
    <x v="0"/>
    <n v="12.744853708000001"/>
    <n v="0.81705786451999995"/>
    <n v="0.32319258312999999"/>
    <x v="1"/>
    <s v="0415-0430"/>
  </r>
  <r>
    <x v="0"/>
    <n v="12.744853708000001"/>
    <n v="0.81705786451999995"/>
    <n v="0.32319258312999999"/>
    <x v="1"/>
    <s v="0430-0445"/>
  </r>
  <r>
    <x v="0"/>
    <n v="12.744853708000001"/>
    <n v="0.81705786451999995"/>
    <n v="0.32319258312999999"/>
    <x v="1"/>
    <s v="0445-0500"/>
  </r>
  <r>
    <x v="0"/>
    <n v="12.744853708000001"/>
    <n v="0.81829775492000001"/>
    <n v="0.34179831268999999"/>
    <x v="1"/>
    <s v="0500-0515"/>
  </r>
  <r>
    <x v="0"/>
    <n v="12.744853708000001"/>
    <n v="0.81829775492000001"/>
    <n v="0.34179831268999999"/>
    <x v="1"/>
    <s v="0515-0530"/>
  </r>
  <r>
    <x v="0"/>
    <n v="12.744853708000001"/>
    <n v="0.81829775492000001"/>
    <n v="0.34179831268999999"/>
    <x v="1"/>
    <s v="0530-0545"/>
  </r>
  <r>
    <x v="0"/>
    <n v="12.744853708000001"/>
    <n v="0.81829775492000001"/>
    <n v="0.34179831268999999"/>
    <x v="1"/>
    <s v="0545-0600"/>
  </r>
  <r>
    <x v="0"/>
    <n v="13.149689301"/>
    <n v="0.80348520555000003"/>
    <n v="0.38663208573000002"/>
    <x v="2"/>
    <s v="0600-0615"/>
  </r>
  <r>
    <x v="0"/>
    <n v="13.149689301"/>
    <n v="0.80348520555000003"/>
    <n v="0.38663208573000002"/>
    <x v="2"/>
    <s v="0615-0630"/>
  </r>
  <r>
    <x v="0"/>
    <n v="13.149689301"/>
    <n v="0.80348520555000003"/>
    <n v="0.38663208573000002"/>
    <x v="2"/>
    <s v="0630-0645"/>
  </r>
  <r>
    <x v="0"/>
    <n v="13.149689301"/>
    <n v="0.80348520555000003"/>
    <n v="0.38663208573000002"/>
    <x v="2"/>
    <s v="0645-0700"/>
  </r>
  <r>
    <x v="0"/>
    <n v="13.695587593999999"/>
    <n v="0.77450871980000002"/>
    <n v="0.30650493387"/>
    <x v="2"/>
    <s v="0700-0715"/>
  </r>
  <r>
    <x v="0"/>
    <n v="13.695587593999999"/>
    <n v="0.77450871980000002"/>
    <n v="0.30650493387"/>
    <x v="2"/>
    <s v="0715-0730"/>
  </r>
  <r>
    <x v="0"/>
    <n v="13.695587593999999"/>
    <n v="0.77450871980000002"/>
    <n v="0.30650493387"/>
    <x v="2"/>
    <s v="0730-0745"/>
  </r>
  <r>
    <x v="0"/>
    <n v="13.695587593999999"/>
    <n v="0.77450871980000002"/>
    <n v="0.30650493387"/>
    <x v="2"/>
    <s v="0745-0800"/>
  </r>
  <r>
    <x v="0"/>
    <n v="14.204726397"/>
    <n v="0.80300334279999996"/>
    <n v="7.6479078549999996E-2"/>
    <x v="3"/>
    <s v="0800-0815"/>
  </r>
  <r>
    <x v="0"/>
    <n v="14.204726397"/>
    <n v="0.80300334279999996"/>
    <n v="7.6479078549999996E-2"/>
    <x v="3"/>
    <s v="0815-0830"/>
  </r>
  <r>
    <x v="0"/>
    <n v="14.204726397"/>
    <n v="0.80300334279999996"/>
    <n v="7.6479078549999996E-2"/>
    <x v="3"/>
    <s v="0830-0845"/>
  </r>
  <r>
    <x v="0"/>
    <n v="14.204726397"/>
    <n v="0.80300334279999996"/>
    <n v="7.6479078549999996E-2"/>
    <x v="3"/>
    <s v="0845-0900"/>
  </r>
  <r>
    <x v="0"/>
    <n v="17.204726394000001"/>
    <n v="0.73248794851999999"/>
    <n v="6.5929252660000007E-2"/>
    <x v="4"/>
    <s v="0900-0915"/>
  </r>
  <r>
    <x v="0"/>
    <n v="17.204726394000001"/>
    <n v="0.73248794851999999"/>
    <n v="6.5929252660000007E-2"/>
    <x v="4"/>
    <s v="0915-0930"/>
  </r>
  <r>
    <x v="0"/>
    <n v="17.204726394000001"/>
    <n v="0.73248794851999999"/>
    <n v="6.5929252660000007E-2"/>
    <x v="4"/>
    <s v="0930-0945"/>
  </r>
  <r>
    <x v="0"/>
    <n v="17.204726394000001"/>
    <n v="0.73248794851999999"/>
    <n v="6.5929252660000007E-2"/>
    <x v="4"/>
    <s v="0945-1000"/>
  </r>
  <r>
    <x v="0"/>
    <n v="19.376130161999999"/>
    <n v="0.66621016060000005"/>
    <n v="4.9399343509999999E-2"/>
    <x v="5"/>
    <s v="1000-1015"/>
  </r>
  <r>
    <x v="0"/>
    <n v="19.376130161999999"/>
    <n v="0.66621016060000005"/>
    <n v="4.9399343509999999E-2"/>
    <x v="5"/>
    <s v="1015-1030"/>
  </r>
  <r>
    <x v="0"/>
    <n v="19.376130161999999"/>
    <n v="0.66621016060000005"/>
    <n v="4.9399343509999999E-2"/>
    <x v="5"/>
    <s v="1030-1045"/>
  </r>
  <r>
    <x v="0"/>
    <n v="19.376130161999999"/>
    <n v="0.66621016060000005"/>
    <n v="4.9399343509999999E-2"/>
    <x v="5"/>
    <s v="1045-1100"/>
  </r>
  <r>
    <x v="0"/>
    <n v="22.044548457000001"/>
    <n v="0.60691996635000001"/>
    <n v="3.989200465E-2"/>
    <x v="5"/>
    <s v="1100-1115"/>
  </r>
  <r>
    <x v="0"/>
    <n v="22.044548457000001"/>
    <n v="0.60691996635000001"/>
    <n v="3.989200465E-2"/>
    <x v="5"/>
    <s v="1115-1130"/>
  </r>
  <r>
    <x v="0"/>
    <n v="22.044548457000001"/>
    <n v="0.60691996635000001"/>
    <n v="3.989200465E-2"/>
    <x v="5"/>
    <s v="1130-1145"/>
  </r>
  <r>
    <x v="0"/>
    <n v="22.044548457000001"/>
    <n v="0.60691996635000001"/>
    <n v="3.989200465E-2"/>
    <x v="5"/>
    <s v="1145-1200"/>
  </r>
  <r>
    <x v="0"/>
    <n v="23.204726388000001"/>
    <n v="0.56792419839999997"/>
    <n v="3.5893272019999999E-2"/>
    <x v="6"/>
    <s v="1200-1215"/>
  </r>
  <r>
    <x v="0"/>
    <n v="23.204726388000001"/>
    <n v="0.56792419839999997"/>
    <n v="3.5893272019999999E-2"/>
    <x v="6"/>
    <s v="1215-1230"/>
  </r>
  <r>
    <x v="0"/>
    <n v="23.204726388000001"/>
    <n v="0.56792419839999997"/>
    <n v="3.5893272019999999E-2"/>
    <x v="6"/>
    <s v="1230-1245"/>
  </r>
  <r>
    <x v="0"/>
    <n v="23.204726388000001"/>
    <n v="0.56792419839999997"/>
    <n v="3.5893272019999999E-2"/>
    <x v="6"/>
    <s v="1245-1300"/>
  </r>
  <r>
    <x v="0"/>
    <n v="24.011225813999999"/>
    <n v="0.54595482419999997"/>
    <n v="4.2111683939999998E-2"/>
    <x v="6"/>
    <s v="1300-1315"/>
  </r>
  <r>
    <x v="0"/>
    <n v="24.011225813999999"/>
    <n v="0.54595482419999997"/>
    <n v="4.2111683939999998E-2"/>
    <x v="6"/>
    <s v="1315-1330"/>
  </r>
  <r>
    <x v="0"/>
    <n v="24.011225813999999"/>
    <n v="0.54595482419999997"/>
    <n v="4.2111683939999998E-2"/>
    <x v="6"/>
    <s v="1330-1345"/>
  </r>
  <r>
    <x v="0"/>
    <n v="24.011225813999999"/>
    <n v="0.54595482419999997"/>
    <n v="4.2111683939999998E-2"/>
    <x v="6"/>
    <s v="1345-1400"/>
  </r>
  <r>
    <x v="0"/>
    <n v="24.011225813999999"/>
    <n v="0.54698887192000001"/>
    <n v="3.7877901050000003E-2"/>
    <x v="7"/>
    <s v="1400-1415"/>
  </r>
  <r>
    <x v="0"/>
    <n v="24.011225813999999"/>
    <n v="0.54698887192000001"/>
    <n v="3.7877901050000003E-2"/>
    <x v="7"/>
    <s v="1415-1430"/>
  </r>
  <r>
    <x v="0"/>
    <n v="24.011225813999999"/>
    <n v="0.54698887192000001"/>
    <n v="3.7877901050000003E-2"/>
    <x v="7"/>
    <s v="1430-1445"/>
  </r>
  <r>
    <x v="0"/>
    <n v="24.011225813999999"/>
    <n v="0.54698887192000001"/>
    <n v="3.7877901050000003E-2"/>
    <x v="7"/>
    <s v="1445-1500"/>
  </r>
  <r>
    <x v="0"/>
    <n v="23.999999976000002"/>
    <n v="0.55749943873999996"/>
    <n v="3.1926256989999999E-2"/>
    <x v="7"/>
    <s v="1500-1515"/>
  </r>
  <r>
    <x v="0"/>
    <n v="23.999999976000002"/>
    <n v="0.55749943873999996"/>
    <n v="3.1926256989999999E-2"/>
    <x v="7"/>
    <s v="1515-1530"/>
  </r>
  <r>
    <x v="0"/>
    <n v="23.999999976000002"/>
    <n v="0.55749943873999996"/>
    <n v="3.1926256989999999E-2"/>
    <x v="7"/>
    <s v="1530-1545"/>
  </r>
  <r>
    <x v="0"/>
    <n v="23.999999976000002"/>
    <n v="0.55749943873999996"/>
    <n v="3.1926256989999999E-2"/>
    <x v="7"/>
    <s v="1545-1600"/>
  </r>
  <r>
    <x v="0"/>
    <n v="23.249375272000002"/>
    <n v="0.59327783614999996"/>
    <n v="2.9073285389999998E-2"/>
    <x v="7"/>
    <s v="1600-1615"/>
  </r>
  <r>
    <x v="0"/>
    <n v="23.249375272000002"/>
    <n v="0.59327783614999996"/>
    <n v="2.9073285389999998E-2"/>
    <x v="7"/>
    <s v="1615-1630"/>
  </r>
  <r>
    <x v="0"/>
    <n v="23.249375272000002"/>
    <n v="0.59327783614999996"/>
    <n v="2.9073285389999998E-2"/>
    <x v="7"/>
    <s v="1630-1645"/>
  </r>
  <r>
    <x v="0"/>
    <n v="23.249375272000002"/>
    <n v="0.59327783614999996"/>
    <n v="2.9073285389999998E-2"/>
    <x v="7"/>
    <s v="1645-1700"/>
  </r>
  <r>
    <x v="0"/>
    <n v="22.409553205000002"/>
    <n v="0.64219471014999996"/>
    <n v="3.7974155619999998E-2"/>
    <x v="8"/>
    <s v="1700-1715"/>
  </r>
  <r>
    <x v="0"/>
    <n v="22.409553205000002"/>
    <n v="0.64219471014999996"/>
    <n v="3.7974155619999998E-2"/>
    <x v="8"/>
    <s v="1715-1730"/>
  </r>
  <r>
    <x v="0"/>
    <n v="22.409553205000002"/>
    <n v="0.64219471014999996"/>
    <n v="3.7974155619999998E-2"/>
    <x v="8"/>
    <s v="1730-1745"/>
  </r>
  <r>
    <x v="0"/>
    <n v="22.409553205000002"/>
    <n v="0.64219471014999996"/>
    <n v="3.7974155619999998E-2"/>
    <x v="8"/>
    <s v="1745-1800"/>
  </r>
  <r>
    <x v="0"/>
    <n v="21.160177911000002"/>
    <n v="0.71152470853000005"/>
    <n v="6.4576421280000004E-2"/>
    <x v="8"/>
    <s v="1800-1815"/>
  </r>
  <r>
    <x v="0"/>
    <n v="21.160177911000002"/>
    <n v="0.71152470853000005"/>
    <n v="6.4576421280000004E-2"/>
    <x v="8"/>
    <s v="1815-1830"/>
  </r>
  <r>
    <x v="0"/>
    <n v="21.160177911000002"/>
    <n v="0.71152470853000005"/>
    <n v="6.4576421280000004E-2"/>
    <x v="9"/>
    <s v="1830-1845"/>
  </r>
  <r>
    <x v="0"/>
    <n v="21.160177911000002"/>
    <n v="0.71152470853000005"/>
    <n v="6.4576421280000004E-2"/>
    <x v="9"/>
    <s v="1845-1900"/>
  </r>
  <r>
    <x v="0"/>
    <n v="19.160177912999998"/>
    <n v="0.77410382972000003"/>
    <n v="8.0018266879999994E-2"/>
    <x v="9"/>
    <s v="1900-1915"/>
  </r>
  <r>
    <x v="0"/>
    <n v="19.160177912999998"/>
    <n v="0.77410382972000003"/>
    <n v="8.0018266879999994E-2"/>
    <x v="9"/>
    <s v="1915-1930"/>
  </r>
  <r>
    <x v="0"/>
    <n v="19.160177912999998"/>
    <n v="0.77410382972000003"/>
    <n v="8.0018266879999994E-2"/>
    <x v="9"/>
    <s v="1930-1945"/>
  </r>
  <r>
    <x v="0"/>
    <n v="19.160177912999998"/>
    <n v="0.77410382972000003"/>
    <n v="8.0018266879999994E-2"/>
    <x v="9"/>
    <s v="1945-2000"/>
  </r>
  <r>
    <x v="0"/>
    <n v="17.999999981999999"/>
    <n v="0.82801011151000004"/>
    <n v="0.10434320647000001"/>
    <x v="9"/>
    <s v="2000-2015"/>
  </r>
  <r>
    <x v="0"/>
    <n v="17.999999981999999"/>
    <n v="0.82801011151000004"/>
    <n v="0.10434320647000001"/>
    <x v="9"/>
    <s v="2015-2030"/>
  </r>
  <r>
    <x v="0"/>
    <n v="17.999999981999999"/>
    <n v="0.82801011151000004"/>
    <n v="0.10434320647000001"/>
    <x v="9"/>
    <s v="2030-2045"/>
  </r>
  <r>
    <x v="0"/>
    <n v="17.999999981999999"/>
    <n v="0.82801011151000004"/>
    <n v="0.10434320647000001"/>
    <x v="9"/>
    <s v="2045-2100"/>
  </r>
  <r>
    <x v="0"/>
    <n v="17.331581685"/>
    <n v="0.85090217289000003"/>
    <n v="0.12055871243999999"/>
    <x v="9"/>
    <s v="2100-2115"/>
  </r>
  <r>
    <x v="0"/>
    <n v="17.331581685"/>
    <n v="0.85090217289000003"/>
    <n v="0.12055871243999999"/>
    <x v="9"/>
    <s v="2115-2130"/>
  </r>
  <r>
    <x v="0"/>
    <n v="17.331581685"/>
    <n v="0.85090217289000003"/>
    <n v="0.12055871243999999"/>
    <x v="10"/>
    <s v="2130-2145"/>
  </r>
  <r>
    <x v="0"/>
    <n v="17.331581685"/>
    <n v="0.85090217289000003"/>
    <n v="0.12055871243999999"/>
    <x v="10"/>
    <s v="2145-2200"/>
  </r>
  <r>
    <x v="0"/>
    <n v="17.015943454999999"/>
    <n v="0.85644359848999996"/>
    <n v="0.14649370170000001"/>
    <x v="10"/>
    <s v="2200-2215"/>
  </r>
  <r>
    <x v="0"/>
    <n v="17.015943454999999"/>
    <n v="0.85644359848999996"/>
    <n v="0.14649370170000001"/>
    <x v="10"/>
    <s v="2215-2230"/>
  </r>
  <r>
    <x v="0"/>
    <n v="17.015943454999999"/>
    <n v="0.85644359848999996"/>
    <n v="0.14649370170000001"/>
    <x v="10"/>
    <s v="2230-2245"/>
  </r>
  <r>
    <x v="0"/>
    <n v="17.015943454999999"/>
    <n v="0.85644359848999996"/>
    <n v="0.14649370170000001"/>
    <x v="10"/>
    <s v="2245-2300"/>
  </r>
  <r>
    <x v="0"/>
    <n v="16.458819324"/>
    <n v="0.86375869320999998"/>
    <n v="0.17219326824"/>
    <x v="10"/>
    <s v="2300-2315"/>
  </r>
  <r>
    <x v="0"/>
    <n v="16.458819324"/>
    <n v="0.86375869320999998"/>
    <n v="0.17219326824"/>
    <x v="10"/>
    <s v="2315-2330"/>
  </r>
  <r>
    <x v="0"/>
    <n v="16.458819324"/>
    <n v="0.86375869320999998"/>
    <n v="0.17219326824"/>
    <x v="10"/>
    <s v="2330-2345"/>
  </r>
  <r>
    <x v="0"/>
    <n v="16.458819324"/>
    <n v="0.86375869320999998"/>
    <n v="0.17219326824"/>
    <x v="10"/>
    <s v="2345-2400"/>
  </r>
  <r>
    <x v="1"/>
    <n v="16.777793998"/>
    <n v="0.78654694778000001"/>
    <n v="0.64149584667000004"/>
    <x v="0"/>
    <s v="0000-0015"/>
  </r>
  <r>
    <x v="1"/>
    <n v="16.777793998"/>
    <n v="0.78654694778000001"/>
    <n v="0.64149584667000004"/>
    <x v="0"/>
    <s v="0015-0030"/>
  </r>
  <r>
    <x v="1"/>
    <n v="16.777793998"/>
    <n v="0.78654694778000001"/>
    <n v="0.64149584667000004"/>
    <x v="0"/>
    <s v="0030-0045"/>
  </r>
  <r>
    <x v="1"/>
    <n v="16.777793998"/>
    <n v="0.78654694778000001"/>
    <n v="0.64149584667000004"/>
    <x v="0"/>
    <s v="0045-0100"/>
  </r>
  <r>
    <x v="1"/>
    <n v="16.345789095000001"/>
    <n v="0.78780795922000002"/>
    <n v="0.66869713386999996"/>
    <x v="0"/>
    <s v="0100-0115"/>
  </r>
  <r>
    <x v="1"/>
    <n v="16.345789095000001"/>
    <n v="0.78780795922000002"/>
    <n v="0.66869713386999996"/>
    <x v="0"/>
    <s v="0115-0130"/>
  </r>
  <r>
    <x v="1"/>
    <n v="16.345789095000001"/>
    <n v="0.78780795922000002"/>
    <n v="0.66869713386999996"/>
    <x v="0"/>
    <s v="0130-0145"/>
  </r>
  <r>
    <x v="1"/>
    <n v="16.345789095000001"/>
    <n v="0.78780795922000002"/>
    <n v="0.66869713386999996"/>
    <x v="0"/>
    <s v="0145-0200"/>
  </r>
  <r>
    <x v="1"/>
    <n v="15.922028459"/>
    <n v="0.81524408919000002"/>
    <n v="0.7352919524"/>
    <x v="0"/>
    <s v="0200-0215"/>
  </r>
  <r>
    <x v="1"/>
    <n v="15.922028459"/>
    <n v="0.81524408919000002"/>
    <n v="0.7352919524"/>
    <x v="0"/>
    <s v="0215-0230"/>
  </r>
  <r>
    <x v="1"/>
    <n v="15.922028459"/>
    <n v="0.81524408919000002"/>
    <n v="0.7352919524"/>
    <x v="0"/>
    <s v="0230-0245"/>
  </r>
  <r>
    <x v="1"/>
    <n v="15.922028459"/>
    <n v="0.81524408919000002"/>
    <n v="0.7352919524"/>
    <x v="0"/>
    <s v="0245-0300"/>
  </r>
  <r>
    <x v="1"/>
    <n v="15.707711868000001"/>
    <n v="0.84519916779000004"/>
    <n v="0.75639736578000005"/>
    <x v="0"/>
    <s v="0300-0315"/>
  </r>
  <r>
    <x v="1"/>
    <n v="15.707711868000001"/>
    <n v="0.84519916779000004"/>
    <n v="0.75639736578000005"/>
    <x v="0"/>
    <s v="0315-0330"/>
  </r>
  <r>
    <x v="1"/>
    <n v="15.707711868000001"/>
    <n v="0.84519916779000004"/>
    <n v="0.75639736578000005"/>
    <x v="0"/>
    <s v="0330-0345"/>
  </r>
  <r>
    <x v="1"/>
    <n v="15.707711868000001"/>
    <n v="0.84519916779000004"/>
    <n v="0.75639736578000005"/>
    <x v="0"/>
    <s v="0345-0400"/>
  </r>
  <r>
    <x v="1"/>
    <n v="15.342807525"/>
    <n v="0.87035725001999997"/>
    <n v="0.81628992636999997"/>
    <x v="1"/>
    <s v="0400-0415"/>
  </r>
  <r>
    <x v="1"/>
    <n v="15.342807525"/>
    <n v="0.87035725001999997"/>
    <n v="0.81628992636999997"/>
    <x v="1"/>
    <s v="0415-0430"/>
  </r>
  <r>
    <x v="1"/>
    <n v="15.342807525"/>
    <n v="0.87035725001999997"/>
    <n v="0.81628992636999997"/>
    <x v="1"/>
    <s v="0430-0445"/>
  </r>
  <r>
    <x v="1"/>
    <n v="15.342807525"/>
    <n v="0.87035725001999997"/>
    <n v="0.81628992636999997"/>
    <x v="1"/>
    <s v="0445-0500"/>
  </r>
  <r>
    <x v="1"/>
    <n v="15.031886929000001"/>
    <n v="0.86003627477"/>
    <n v="0.85782018391000003"/>
    <x v="1"/>
    <s v="0500-0515"/>
  </r>
  <r>
    <x v="1"/>
    <n v="15.031886929000001"/>
    <n v="0.86003627477"/>
    <n v="0.85782018391000003"/>
    <x v="1"/>
    <s v="0515-0530"/>
  </r>
  <r>
    <x v="1"/>
    <n v="15.031886929000001"/>
    <n v="0.86003627477"/>
    <n v="0.85782018391000003"/>
    <x v="1"/>
    <s v="0530-0545"/>
  </r>
  <r>
    <x v="1"/>
    <n v="15.031886929000001"/>
    <n v="0.86003627477"/>
    <n v="0.85782018391000003"/>
    <x v="1"/>
    <s v="0545-0600"/>
  </r>
  <r>
    <x v="1"/>
    <n v="14.878217201"/>
    <n v="0.85021915705999995"/>
    <n v="0.83369809024999997"/>
    <x v="2"/>
    <s v="0600-0615"/>
  </r>
  <r>
    <x v="1"/>
    <n v="14.878217201"/>
    <n v="0.85021915705999995"/>
    <n v="0.83369809024999997"/>
    <x v="2"/>
    <s v="0615-0630"/>
  </r>
  <r>
    <x v="1"/>
    <n v="14.878217201"/>
    <n v="0.85021915705999995"/>
    <n v="0.83369809024999997"/>
    <x v="2"/>
    <s v="0630-0645"/>
  </r>
  <r>
    <x v="1"/>
    <n v="14.878217201"/>
    <n v="0.85021915705999995"/>
    <n v="0.83369809024999997"/>
    <x v="2"/>
    <s v="0645-0700"/>
  </r>
  <r>
    <x v="1"/>
    <n v="18.127237619999999"/>
    <n v="0.76679653915000001"/>
    <n v="0.96710116453999995"/>
    <x v="2"/>
    <s v="0700-0715"/>
  </r>
  <r>
    <x v="1"/>
    <n v="18.127237619999999"/>
    <n v="0.76679653915000001"/>
    <n v="0.96710116453999995"/>
    <x v="2"/>
    <s v="0715-0730"/>
  </r>
  <r>
    <x v="1"/>
    <n v="18.127237619999999"/>
    <n v="0.76679653915000001"/>
    <n v="0.96710116453999995"/>
    <x v="2"/>
    <s v="0730-0745"/>
  </r>
  <r>
    <x v="1"/>
    <n v="18.127237619999999"/>
    <n v="0.76679653915000001"/>
    <n v="0.96710116453999995"/>
    <x v="2"/>
    <s v="0745-0800"/>
  </r>
  <r>
    <x v="1"/>
    <n v="18.762333276"/>
    <n v="0.71528911256000005"/>
    <n v="0.96665567975"/>
    <x v="3"/>
    <s v="0800-0815"/>
  </r>
  <r>
    <x v="1"/>
    <n v="18.762333276"/>
    <n v="0.71528911256000005"/>
    <n v="0.96665567975"/>
    <x v="3"/>
    <s v="0815-0830"/>
  </r>
  <r>
    <x v="1"/>
    <n v="18.762333276"/>
    <n v="0.71528911256000005"/>
    <n v="0.96665567975"/>
    <x v="3"/>
    <s v="0830-0845"/>
  </r>
  <r>
    <x v="1"/>
    <n v="18.762333276"/>
    <n v="0.71528911256000005"/>
    <n v="0.96665567975"/>
    <x v="3"/>
    <s v="0845-0900"/>
  </r>
  <r>
    <x v="1"/>
    <n v="19.532073212"/>
    <n v="0.66865210597000002"/>
    <n v="0.96985923838999999"/>
    <x v="4"/>
    <s v="0900-0915"/>
  </r>
  <r>
    <x v="1"/>
    <n v="19.532073212"/>
    <n v="0.66865210597000002"/>
    <n v="0.96985923838999999"/>
    <x v="4"/>
    <s v="0915-0930"/>
  </r>
  <r>
    <x v="1"/>
    <n v="19.532073212"/>
    <n v="0.66865210597000002"/>
    <n v="0.96985923838999999"/>
    <x v="4"/>
    <s v="0930-0945"/>
  </r>
  <r>
    <x v="1"/>
    <n v="19.532073212"/>
    <n v="0.66865210597000002"/>
    <n v="0.96985923838999999"/>
    <x v="4"/>
    <s v="0945-1000"/>
  </r>
  <r>
    <x v="1"/>
    <n v="19.575340906000001"/>
    <n v="0.66450267205000002"/>
    <n v="0.96781197427999999"/>
    <x v="5"/>
    <s v="1000-1015"/>
  </r>
  <r>
    <x v="1"/>
    <n v="19.575340906000001"/>
    <n v="0.66450267205000002"/>
    <n v="0.96781197427999999"/>
    <x v="5"/>
    <s v="1015-1030"/>
  </r>
  <r>
    <x v="1"/>
    <n v="19.575340906000001"/>
    <n v="0.66450267205000002"/>
    <n v="0.96781197427999999"/>
    <x v="5"/>
    <s v="1030-1045"/>
  </r>
  <r>
    <x v="1"/>
    <n v="19.575340906000001"/>
    <n v="0.66450267205000002"/>
    <n v="0.96781197427999999"/>
    <x v="5"/>
    <s v="1045-1100"/>
  </r>
  <r>
    <x v="1"/>
    <n v="20.248476836999998"/>
    <n v="0.67003058447999997"/>
    <n v="0.96609793657999998"/>
    <x v="5"/>
    <s v="1100-1115"/>
  </r>
  <r>
    <x v="1"/>
    <n v="20.248476836999998"/>
    <n v="0.67003058447999997"/>
    <n v="0.96609793657999998"/>
    <x v="5"/>
    <s v="1115-1130"/>
  </r>
  <r>
    <x v="1"/>
    <n v="20.248476836999998"/>
    <n v="0.67003058447999997"/>
    <n v="0.96609793657999998"/>
    <x v="5"/>
    <s v="1130-1145"/>
  </r>
  <r>
    <x v="1"/>
    <n v="20.248476836999998"/>
    <n v="0.67003058447999997"/>
    <n v="0.96609793657999998"/>
    <x v="5"/>
    <s v="1145-1200"/>
  </r>
  <r>
    <x v="1"/>
    <n v="20.969333006999999"/>
    <n v="0.67942829647000003"/>
    <n v="0.96416293085000004"/>
    <x v="6"/>
    <s v="1200-1215"/>
  </r>
  <r>
    <x v="1"/>
    <n v="20.969333006999999"/>
    <n v="0.67942829647000003"/>
    <n v="0.96416293085000004"/>
    <x v="6"/>
    <s v="1215-1230"/>
  </r>
  <r>
    <x v="1"/>
    <n v="20.969333006999999"/>
    <n v="0.67942829647000003"/>
    <n v="0.96416293085000004"/>
    <x v="6"/>
    <s v="1230-1245"/>
  </r>
  <r>
    <x v="1"/>
    <n v="20.969333006999999"/>
    <n v="0.67942829647000003"/>
    <n v="0.96416293085000004"/>
    <x v="6"/>
    <s v="1245-1300"/>
  </r>
  <r>
    <x v="1"/>
    <n v="20.641087749"/>
    <n v="0.71588886867000001"/>
    <n v="0.84447295419000001"/>
    <x v="6"/>
    <s v="1300-1315"/>
  </r>
  <r>
    <x v="1"/>
    <n v="20.641087749"/>
    <n v="0.71588886867000001"/>
    <n v="0.84447295419000001"/>
    <x v="6"/>
    <s v="1315-1330"/>
  </r>
  <r>
    <x v="1"/>
    <n v="20.641087749"/>
    <n v="0.71588886867000001"/>
    <n v="0.84447295419000001"/>
    <x v="6"/>
    <s v="1330-1345"/>
  </r>
  <r>
    <x v="1"/>
    <n v="20.641087749"/>
    <n v="0.71588886867000001"/>
    <n v="0.84447295419000001"/>
    <x v="6"/>
    <s v="1345-1400"/>
  </r>
  <r>
    <x v="1"/>
    <n v="22.271465769999999"/>
    <n v="0.67000735751999996"/>
    <n v="0.80552759783000005"/>
    <x v="7"/>
    <s v="1400-1415"/>
  </r>
  <r>
    <x v="1"/>
    <n v="22.271465769999999"/>
    <n v="0.67000735751999996"/>
    <n v="0.80552759783000005"/>
    <x v="7"/>
    <s v="1415-1430"/>
  </r>
  <r>
    <x v="1"/>
    <n v="22.271465769999999"/>
    <n v="0.67000735751999996"/>
    <n v="0.80552759783000005"/>
    <x v="7"/>
    <s v="1430-1445"/>
  </r>
  <r>
    <x v="1"/>
    <n v="22.271465769999999"/>
    <n v="0.67000735751999996"/>
    <n v="0.80552759783000005"/>
    <x v="7"/>
    <s v="1445-1500"/>
  </r>
  <r>
    <x v="1"/>
    <n v="20.617998408999998"/>
    <n v="0.71923241850999997"/>
    <n v="0.86952983984999999"/>
    <x v="7"/>
    <s v="1500-1515"/>
  </r>
  <r>
    <x v="1"/>
    <n v="20.617998408999998"/>
    <n v="0.71923241850999997"/>
    <n v="0.86952983984999999"/>
    <x v="7"/>
    <s v="1515-1530"/>
  </r>
  <r>
    <x v="1"/>
    <n v="20.617998408999998"/>
    <n v="0.71923241850999997"/>
    <n v="0.86952983984999999"/>
    <x v="7"/>
    <s v="1530-1545"/>
  </r>
  <r>
    <x v="1"/>
    <n v="20.617998408999998"/>
    <n v="0.71923241850999997"/>
    <n v="0.86952983984999999"/>
    <x v="7"/>
    <s v="1545-1600"/>
  </r>
  <r>
    <x v="1"/>
    <n v="20.529638671000001"/>
    <n v="0.72960931953999997"/>
    <n v="0.83252864621"/>
    <x v="7"/>
    <s v="1600-1615"/>
  </r>
  <r>
    <x v="1"/>
    <n v="20.529638671000001"/>
    <n v="0.72960931953999997"/>
    <n v="0.83252864621"/>
    <x v="7"/>
    <s v="1615-1630"/>
  </r>
  <r>
    <x v="1"/>
    <n v="20.529638671000001"/>
    <n v="0.72960931953999997"/>
    <n v="0.83252864621"/>
    <x v="7"/>
    <s v="1630-1645"/>
  </r>
  <r>
    <x v="1"/>
    <n v="20.529638671000001"/>
    <n v="0.72960931953999997"/>
    <n v="0.83252864621"/>
    <x v="7"/>
    <s v="1645-1700"/>
  </r>
  <r>
    <x v="1"/>
    <n v="20.094652196999998"/>
    <n v="0.72174803040000002"/>
    <n v="0.76514255518999996"/>
    <x v="8"/>
    <s v="1700-1715"/>
  </r>
  <r>
    <x v="1"/>
    <n v="20.094652196999998"/>
    <n v="0.72174803040000002"/>
    <n v="0.76514255518999996"/>
    <x v="8"/>
    <s v="1715-1730"/>
  </r>
  <r>
    <x v="1"/>
    <n v="20.094652196999998"/>
    <n v="0.72174803040000002"/>
    <n v="0.76514255518999996"/>
    <x v="8"/>
    <s v="1730-1745"/>
  </r>
  <r>
    <x v="1"/>
    <n v="20.094652196999998"/>
    <n v="0.72174803040000002"/>
    <n v="0.76514255518999996"/>
    <x v="8"/>
    <s v="1745-1800"/>
  </r>
  <r>
    <x v="1"/>
    <n v="18.230642392"/>
    <n v="0.81467193363000001"/>
    <n v="0.70133513215999999"/>
    <x v="8"/>
    <s v="1800-1815"/>
  </r>
  <r>
    <x v="1"/>
    <n v="18.230642392"/>
    <n v="0.81467193363000001"/>
    <n v="0.70133513215999999"/>
    <x v="8"/>
    <s v="1815-1830"/>
  </r>
  <r>
    <x v="1"/>
    <n v="18.230642392"/>
    <n v="0.81467193363000001"/>
    <n v="0.70133513215999999"/>
    <x v="9"/>
    <s v="1830-1845"/>
  </r>
  <r>
    <x v="1"/>
    <n v="18.230642392"/>
    <n v="0.81467193363000001"/>
    <n v="0.70133513215999999"/>
    <x v="9"/>
    <s v="1845-1900"/>
  </r>
  <r>
    <x v="1"/>
    <n v="17.687343323"/>
    <n v="0.82980508172"/>
    <n v="0.61167642508999998"/>
    <x v="9"/>
    <s v="1900-1915"/>
  </r>
  <r>
    <x v="1"/>
    <n v="17.687343323"/>
    <n v="0.82980508172"/>
    <n v="0.61167642508999998"/>
    <x v="9"/>
    <s v="1915-1930"/>
  </r>
  <r>
    <x v="1"/>
    <n v="17.687343323"/>
    <n v="0.82980508172"/>
    <n v="0.61167642508999998"/>
    <x v="9"/>
    <s v="1930-1945"/>
  </r>
  <r>
    <x v="1"/>
    <n v="17.687343323"/>
    <n v="0.82980508172"/>
    <n v="0.61167642508999998"/>
    <x v="9"/>
    <s v="1945-2000"/>
  </r>
  <r>
    <x v="1"/>
    <n v="17.002981554000002"/>
    <n v="0.83006561822000002"/>
    <n v="0.56018161121999999"/>
    <x v="9"/>
    <s v="2000-2015"/>
  </r>
  <r>
    <x v="1"/>
    <n v="17.002981554000002"/>
    <n v="0.83006561822000002"/>
    <n v="0.56018161121999999"/>
    <x v="9"/>
    <s v="2015-2030"/>
  </r>
  <r>
    <x v="1"/>
    <n v="17.002981554000002"/>
    <n v="0.83006561822000002"/>
    <n v="0.56018161121999999"/>
    <x v="9"/>
    <s v="2030-2045"/>
  </r>
  <r>
    <x v="1"/>
    <n v="17.002981554000002"/>
    <n v="0.83006561822000002"/>
    <n v="0.56018161121999999"/>
    <x v="9"/>
    <s v="2045-2100"/>
  </r>
  <r>
    <x v="1"/>
    <n v="16.501249392999998"/>
    <n v="0.82791700169000004"/>
    <n v="0.24066966761"/>
    <x v="9"/>
    <s v="2100-2115"/>
  </r>
  <r>
    <x v="1"/>
    <n v="16.501249392999998"/>
    <n v="0.82791700169000004"/>
    <n v="0.24066966761"/>
    <x v="9"/>
    <s v="2115-2130"/>
  </r>
  <r>
    <x v="1"/>
    <n v="16.501249392999998"/>
    <n v="0.82791700169000004"/>
    <n v="0.24066966761"/>
    <x v="10"/>
    <s v="2130-2145"/>
  </r>
  <r>
    <x v="1"/>
    <n v="16.501249392999998"/>
    <n v="0.82791700169000004"/>
    <n v="0.24066966761"/>
    <x v="10"/>
    <s v="2145-2200"/>
  </r>
  <r>
    <x v="1"/>
    <n v="15.854927899"/>
    <n v="0.82595410182999995"/>
    <n v="0.25008647726"/>
    <x v="10"/>
    <s v="2200-2215"/>
  </r>
  <r>
    <x v="1"/>
    <n v="15.854927899"/>
    <n v="0.82595410182999995"/>
    <n v="0.25008647726"/>
    <x v="10"/>
    <s v="2215-2230"/>
  </r>
  <r>
    <x v="1"/>
    <n v="15.854927899"/>
    <n v="0.82595410182999995"/>
    <n v="0.25008647726"/>
    <x v="10"/>
    <s v="2230-2245"/>
  </r>
  <r>
    <x v="1"/>
    <n v="15.854927899"/>
    <n v="0.82595410182999995"/>
    <n v="0.25008647726"/>
    <x v="10"/>
    <s v="2245-2300"/>
  </r>
  <r>
    <x v="1"/>
    <n v="15.594326766"/>
    <n v="0.80446458090999995"/>
    <n v="0.28382659494000001"/>
    <x v="10"/>
    <s v="2300-2315"/>
  </r>
  <r>
    <x v="1"/>
    <n v="15.594326766"/>
    <n v="0.80446458090999995"/>
    <n v="0.28382659494000001"/>
    <x v="10"/>
    <s v="2315-2330"/>
  </r>
  <r>
    <x v="1"/>
    <n v="15.594326766"/>
    <n v="0.80446458090999995"/>
    <n v="0.28382659494000001"/>
    <x v="10"/>
    <s v="2330-2345"/>
  </r>
  <r>
    <x v="1"/>
    <n v="15.594326766"/>
    <n v="0.80446458090999995"/>
    <n v="0.28382659494000001"/>
    <x v="10"/>
    <s v="2345-2400"/>
  </r>
  <r>
    <x v="2"/>
    <n v="16.214161662999999"/>
    <n v="0.88669793093000004"/>
    <n v="0.15421226578"/>
    <x v="0"/>
    <s v="0000-0015"/>
  </r>
  <r>
    <x v="2"/>
    <n v="16.214161662999999"/>
    <n v="0.88669793093000004"/>
    <n v="0.15421226578"/>
    <x v="0"/>
    <s v="0015-0030"/>
  </r>
  <r>
    <x v="2"/>
    <n v="16.214161662999999"/>
    <n v="0.88669793093000004"/>
    <n v="0.15421226578"/>
    <x v="0"/>
    <s v="0030-0045"/>
  </r>
  <r>
    <x v="2"/>
    <n v="16.214161662999999"/>
    <n v="0.88669793093000004"/>
    <n v="0.15421226578"/>
    <x v="0"/>
    <s v="0045-0100"/>
  </r>
  <r>
    <x v="2"/>
    <n v="15.458819325"/>
    <n v="0.89554264043999998"/>
    <n v="0.11173926145"/>
    <x v="0"/>
    <s v="0100-0115"/>
  </r>
  <r>
    <x v="2"/>
    <n v="15.458819325"/>
    <n v="0.89554264043999998"/>
    <n v="0.11173926145"/>
    <x v="0"/>
    <s v="0115-0130"/>
  </r>
  <r>
    <x v="2"/>
    <n v="15.458819325"/>
    <n v="0.89554264043999998"/>
    <n v="0.11173926145"/>
    <x v="0"/>
    <s v="0130-0145"/>
  </r>
  <r>
    <x v="2"/>
    <n v="15.458819325"/>
    <n v="0.89554264043999998"/>
    <n v="0.11173926145"/>
    <x v="0"/>
    <s v="0145-0200"/>
  </r>
  <r>
    <x v="2"/>
    <n v="14.630223096"/>
    <n v="0.91312587952000002"/>
    <n v="8.7218052000000004E-2"/>
    <x v="0"/>
    <s v="0200-0215"/>
  </r>
  <r>
    <x v="2"/>
    <n v="14.630223096"/>
    <n v="0.91312587952000002"/>
    <n v="8.7218052000000004E-2"/>
    <x v="0"/>
    <s v="0215-0230"/>
  </r>
  <r>
    <x v="2"/>
    <n v="14.630223096"/>
    <n v="0.91312587952000002"/>
    <n v="8.7218052000000004E-2"/>
    <x v="0"/>
    <s v="0230-0245"/>
  </r>
  <r>
    <x v="2"/>
    <n v="14.630223096"/>
    <n v="0.91312587952000002"/>
    <n v="8.7218052000000004E-2"/>
    <x v="0"/>
    <s v="0245-0300"/>
  </r>
  <r>
    <x v="2"/>
    <n v="14.380847801"/>
    <n v="0.91978024678000003"/>
    <n v="9.483163218E-2"/>
    <x v="0"/>
    <s v="0300-0315"/>
  </r>
  <r>
    <x v="2"/>
    <n v="14.380847801"/>
    <n v="0.91978024678000003"/>
    <n v="9.483163218E-2"/>
    <x v="0"/>
    <s v="0315-0330"/>
  </r>
  <r>
    <x v="2"/>
    <n v="14.380847801"/>
    <n v="0.91978024678000003"/>
    <n v="9.483163218E-2"/>
    <x v="0"/>
    <s v="0330-0345"/>
  </r>
  <r>
    <x v="2"/>
    <n v="14.380847801"/>
    <n v="0.91978024678000003"/>
    <n v="9.483163218E-2"/>
    <x v="0"/>
    <s v="0345-0400"/>
  </r>
  <r>
    <x v="2"/>
    <n v="14.015943458000001"/>
    <n v="0.92803449146999994"/>
    <n v="8.1550011049999996E-2"/>
    <x v="1"/>
    <s v="0400-0415"/>
  </r>
  <r>
    <x v="2"/>
    <n v="14.015943458000001"/>
    <n v="0.92803449146999994"/>
    <n v="8.1550011049999996E-2"/>
    <x v="1"/>
    <s v="0415-0430"/>
  </r>
  <r>
    <x v="2"/>
    <n v="14.015943458000001"/>
    <n v="0.92803449146999994"/>
    <n v="8.1550011049999996E-2"/>
    <x v="1"/>
    <s v="0430-0445"/>
  </r>
  <r>
    <x v="2"/>
    <n v="14.015943458000001"/>
    <n v="0.92803449146999994"/>
    <n v="8.1550011049999996E-2"/>
    <x v="1"/>
    <s v="0445-0500"/>
  </r>
  <r>
    <x v="2"/>
    <n v="13.614279625"/>
    <n v="0.93382670080999997"/>
    <n v="7.4744585320000001E-2"/>
    <x v="1"/>
    <s v="0500-0515"/>
  </r>
  <r>
    <x v="2"/>
    <n v="13.614279625"/>
    <n v="0.93382670080999997"/>
    <n v="7.4744585320000001E-2"/>
    <x v="1"/>
    <s v="0515-0530"/>
  </r>
  <r>
    <x v="2"/>
    <n v="13.614279625"/>
    <n v="0.93382670080999997"/>
    <n v="7.4744585320000001E-2"/>
    <x v="1"/>
    <s v="0530-0545"/>
  </r>
  <r>
    <x v="2"/>
    <n v="13.614279625"/>
    <n v="0.93382670080999997"/>
    <n v="7.4744585320000001E-2"/>
    <x v="1"/>
    <s v="0545-0600"/>
  </r>
  <r>
    <x v="2"/>
    <n v="13.614279625"/>
    <n v="0.92643271215"/>
    <n v="7.2462270950000005E-2"/>
    <x v="2"/>
    <s v="0600-0615"/>
  </r>
  <r>
    <x v="2"/>
    <n v="13.614279625"/>
    <n v="0.92643271215"/>
    <n v="7.2462270950000005E-2"/>
    <x v="2"/>
    <s v="0615-0630"/>
  </r>
  <r>
    <x v="2"/>
    <n v="13.614279625"/>
    <n v="0.92643271215"/>
    <n v="7.2462270950000005E-2"/>
    <x v="2"/>
    <s v="0630-0645"/>
  </r>
  <r>
    <x v="2"/>
    <n v="13.614279625"/>
    <n v="0.92643271215"/>
    <n v="7.2462270950000005E-2"/>
    <x v="2"/>
    <s v="0645-0700"/>
  </r>
  <r>
    <x v="2"/>
    <n v="13.625505463"/>
    <n v="0.89966798841999995"/>
    <n v="7.388610172E-2"/>
    <x v="2"/>
    <s v="0700-0715"/>
  </r>
  <r>
    <x v="2"/>
    <n v="13.625505463"/>
    <n v="0.89966798841999995"/>
    <n v="7.388610172E-2"/>
    <x v="2"/>
    <s v="0715-0730"/>
  </r>
  <r>
    <x v="2"/>
    <n v="13.625505463"/>
    <n v="0.89966798841999995"/>
    <n v="7.388610172E-2"/>
    <x v="2"/>
    <s v="0730-0745"/>
  </r>
  <r>
    <x v="2"/>
    <n v="13.625505463"/>
    <n v="0.89966798841999995"/>
    <n v="7.388610172E-2"/>
    <x v="2"/>
    <s v="0745-0800"/>
  </r>
  <r>
    <x v="2"/>
    <n v="14.908203397999999"/>
    <n v="0.85696225185999997"/>
    <n v="6.9954831689999997E-2"/>
    <x v="3"/>
    <s v="0800-0815"/>
  </r>
  <r>
    <x v="2"/>
    <n v="14.908203397999999"/>
    <n v="0.85696225185999997"/>
    <n v="6.9954831689999997E-2"/>
    <x v="3"/>
    <s v="0815-0830"/>
  </r>
  <r>
    <x v="2"/>
    <n v="14.908203397999999"/>
    <n v="0.85696225185999997"/>
    <n v="6.9954831689999997E-2"/>
    <x v="3"/>
    <s v="0830-0845"/>
  </r>
  <r>
    <x v="2"/>
    <n v="14.908203397999999"/>
    <n v="0.85696225185999997"/>
    <n v="6.9954831689999997E-2"/>
    <x v="3"/>
    <s v="0845-0900"/>
  </r>
  <r>
    <x v="2"/>
    <n v="17.298641391"/>
    <n v="0.79313104055000005"/>
    <n v="6.590647576E-2"/>
    <x v="4"/>
    <s v="0900-0915"/>
  </r>
  <r>
    <x v="2"/>
    <n v="17.298641391"/>
    <n v="0.79313104055000005"/>
    <n v="6.590647576E-2"/>
    <x v="4"/>
    <s v="0915-0930"/>
  </r>
  <r>
    <x v="2"/>
    <n v="17.298641391"/>
    <n v="0.79313104055000005"/>
    <n v="6.590647576E-2"/>
    <x v="4"/>
    <s v="0930-0945"/>
  </r>
  <r>
    <x v="2"/>
    <n v="17.298641391"/>
    <n v="0.79313104055000005"/>
    <n v="6.590647576E-2"/>
    <x v="4"/>
    <s v="0945-1000"/>
  </r>
  <r>
    <x v="2"/>
    <n v="19.105140815999999"/>
    <n v="0.72101769041999997"/>
    <n v="6.0997863800000003E-2"/>
    <x v="5"/>
    <s v="1000-1015"/>
  </r>
  <r>
    <x v="2"/>
    <n v="19.105140815999999"/>
    <n v="0.72101769041999997"/>
    <n v="6.0997863800000003E-2"/>
    <x v="5"/>
    <s v="1015-1030"/>
  </r>
  <r>
    <x v="2"/>
    <n v="19.105140815999999"/>
    <n v="0.72101769041999997"/>
    <n v="6.0997863800000003E-2"/>
    <x v="5"/>
    <s v="1030-1045"/>
  </r>
  <r>
    <x v="2"/>
    <n v="19.105140815999999"/>
    <n v="0.72101769041999997"/>
    <n v="6.0997863800000003E-2"/>
    <x v="5"/>
    <s v="1045-1100"/>
  </r>
  <r>
    <x v="2"/>
    <n v="21.543299048000002"/>
    <n v="0.64588811049999995"/>
    <n v="5.7470063129999999E-2"/>
    <x v="5"/>
    <s v="1100-1115"/>
  </r>
  <r>
    <x v="2"/>
    <n v="21.543299048000002"/>
    <n v="0.64588811049999995"/>
    <n v="5.7470063129999999E-2"/>
    <x v="5"/>
    <s v="1115-1130"/>
  </r>
  <r>
    <x v="2"/>
    <n v="21.543299048000002"/>
    <n v="0.64588811049999995"/>
    <n v="5.7470063129999999E-2"/>
    <x v="5"/>
    <s v="1130-1145"/>
  </r>
  <r>
    <x v="2"/>
    <n v="21.543299048000002"/>
    <n v="0.64588811049999995"/>
    <n v="5.7470063129999999E-2"/>
    <x v="5"/>
    <s v="1145-1200"/>
  </r>
  <r>
    <x v="2"/>
    <n v="23.282697913"/>
    <n v="0.59477516889000004"/>
    <n v="6.4856969299999997E-2"/>
    <x v="6"/>
    <s v="1200-1215"/>
  </r>
  <r>
    <x v="2"/>
    <n v="23.282697913"/>
    <n v="0.59477516889000004"/>
    <n v="6.4856969299999997E-2"/>
    <x v="6"/>
    <s v="1215-1230"/>
  </r>
  <r>
    <x v="2"/>
    <n v="23.282697913"/>
    <n v="0.59477516889000004"/>
    <n v="6.4856969299999997E-2"/>
    <x v="6"/>
    <s v="1230-1245"/>
  </r>
  <r>
    <x v="2"/>
    <n v="23.282697913"/>
    <n v="0.59477516889000004"/>
    <n v="6.4856969299999997E-2"/>
    <x v="6"/>
    <s v="1245-1300"/>
  </r>
  <r>
    <x v="2"/>
    <n v="24.442875844"/>
    <n v="0.57246358389999996"/>
    <n v="6.0493900789999999E-2"/>
    <x v="6"/>
    <s v="1300-1315"/>
  </r>
  <r>
    <x v="2"/>
    <n v="24.442875844"/>
    <n v="0.57246358389999996"/>
    <n v="6.0493900789999999E-2"/>
    <x v="6"/>
    <s v="1315-1330"/>
  </r>
  <r>
    <x v="2"/>
    <n v="24.442875844"/>
    <n v="0.57246358389999996"/>
    <n v="6.0493900789999999E-2"/>
    <x v="6"/>
    <s v="1330-1345"/>
  </r>
  <r>
    <x v="2"/>
    <n v="24.442875844"/>
    <n v="0.57246358389999996"/>
    <n v="6.0493900789999999E-2"/>
    <x v="6"/>
    <s v="1345-1400"/>
  </r>
  <r>
    <x v="2"/>
    <n v="25.093914972"/>
    <n v="0.56086180459000001"/>
    <n v="8.8724373529999997E-2"/>
    <x v="7"/>
    <s v="1400-1415"/>
  </r>
  <r>
    <x v="2"/>
    <n v="25.093914972"/>
    <n v="0.56086180459000001"/>
    <n v="8.8724373529999997E-2"/>
    <x v="7"/>
    <s v="1415-1430"/>
  </r>
  <r>
    <x v="2"/>
    <n v="25.093914972"/>
    <n v="0.56086180459000001"/>
    <n v="8.8724373529999997E-2"/>
    <x v="7"/>
    <s v="1430-1445"/>
  </r>
  <r>
    <x v="2"/>
    <n v="25.093914972"/>
    <n v="0.56086180459000001"/>
    <n v="8.8724373529999997E-2"/>
    <x v="7"/>
    <s v="1445-1500"/>
  </r>
  <r>
    <x v="2"/>
    <n v="25.409553202000001"/>
    <n v="0.56093071009999995"/>
    <n v="0.13325874304999999"/>
    <x v="7"/>
    <s v="1500-1515"/>
  </r>
  <r>
    <x v="2"/>
    <n v="25.409553202000001"/>
    <n v="0.56093071009999995"/>
    <n v="0.13325874304999999"/>
    <x v="7"/>
    <s v="1515-1530"/>
  </r>
  <r>
    <x v="2"/>
    <n v="25.409553202000001"/>
    <n v="0.56093071009999995"/>
    <n v="0.13325874304999999"/>
    <x v="7"/>
    <s v="1530-1545"/>
  </r>
  <r>
    <x v="2"/>
    <n v="25.409553202000001"/>
    <n v="0.56093071009999995"/>
    <n v="0.13325874304999999"/>
    <x v="7"/>
    <s v="1545-1600"/>
  </r>
  <r>
    <x v="2"/>
    <n v="25.023832841000001"/>
    <n v="0.58182268371000001"/>
    <n v="0.11384517252"/>
    <x v="7"/>
    <s v="1600-1615"/>
  </r>
  <r>
    <x v="2"/>
    <n v="25.023832841000001"/>
    <n v="0.58182268371000001"/>
    <n v="0.11384517252"/>
    <x v="7"/>
    <s v="1615-1630"/>
  </r>
  <r>
    <x v="2"/>
    <n v="25.023832841000001"/>
    <n v="0.58182268371000001"/>
    <n v="0.11384517252"/>
    <x v="7"/>
    <s v="1630-1645"/>
  </r>
  <r>
    <x v="2"/>
    <n v="25.023832841000001"/>
    <n v="0.58182268371000001"/>
    <n v="0.11384517252"/>
    <x v="7"/>
    <s v="1645-1700"/>
  </r>
  <r>
    <x v="2"/>
    <n v="23.934635479000001"/>
    <n v="0.63363262316000002"/>
    <n v="0.17078089615"/>
    <x v="8"/>
    <s v="1700-1715"/>
  </r>
  <r>
    <x v="2"/>
    <n v="23.934635479000001"/>
    <n v="0.63363262316000002"/>
    <n v="0.17078089615"/>
    <x v="8"/>
    <s v="1715-1730"/>
  </r>
  <r>
    <x v="2"/>
    <n v="23.934635479000001"/>
    <n v="0.63363262316000002"/>
    <n v="0.17078089615"/>
    <x v="8"/>
    <s v="1730-1745"/>
  </r>
  <r>
    <x v="2"/>
    <n v="23.934635479000001"/>
    <n v="0.63363262316000002"/>
    <n v="0.17078089615"/>
    <x v="8"/>
    <s v="1745-1800"/>
  </r>
  <r>
    <x v="2"/>
    <n v="22.353678482999999"/>
    <n v="0.71040733527"/>
    <n v="0.19456475413999999"/>
    <x v="8"/>
    <s v="1800-1815"/>
  </r>
  <r>
    <x v="2"/>
    <n v="22.353678482999999"/>
    <n v="0.71040733527"/>
    <n v="0.19456475413999999"/>
    <x v="8"/>
    <s v="1815-1830"/>
  </r>
  <r>
    <x v="2"/>
    <n v="22.353678482999999"/>
    <n v="0.71040733527"/>
    <n v="0.19456475413999999"/>
    <x v="9"/>
    <s v="1830-1845"/>
  </r>
  <r>
    <x v="2"/>
    <n v="22.353678482999999"/>
    <n v="0.71040733527"/>
    <n v="0.19456475413999999"/>
    <x v="9"/>
    <s v="1845-1900"/>
  </r>
  <r>
    <x v="2"/>
    <n v="20.019115211999999"/>
    <n v="0.77924111529999995"/>
    <n v="0.24580476536000001"/>
    <x v="9"/>
    <s v="1900-1915"/>
  </r>
  <r>
    <x v="2"/>
    <n v="20.019115211999999"/>
    <n v="0.77924111529999995"/>
    <n v="0.24580476536000001"/>
    <x v="9"/>
    <s v="1915-1930"/>
  </r>
  <r>
    <x v="2"/>
    <n v="20.019115211999999"/>
    <n v="0.77924111529999995"/>
    <n v="0.24580476536000001"/>
    <x v="9"/>
    <s v="1930-1945"/>
  </r>
  <r>
    <x v="2"/>
    <n v="20.019115211999999"/>
    <n v="0.77924111529999995"/>
    <n v="0.24580476536000001"/>
    <x v="9"/>
    <s v="1945-2000"/>
  </r>
  <r>
    <x v="2"/>
    <n v="18.089197344999999"/>
    <n v="0.85623524632000003"/>
    <n v="0.29440848031"/>
    <x v="9"/>
    <s v="2000-2015"/>
  </r>
  <r>
    <x v="2"/>
    <n v="18.089197344999999"/>
    <n v="0.85623524632000003"/>
    <n v="0.29440848031"/>
    <x v="9"/>
    <s v="2015-2030"/>
  </r>
  <r>
    <x v="2"/>
    <n v="18.089197344999999"/>
    <n v="0.85623524632000003"/>
    <n v="0.29440848031"/>
    <x v="9"/>
    <s v="2030-2045"/>
  </r>
  <r>
    <x v="2"/>
    <n v="18.089197344999999"/>
    <n v="0.85623524632000003"/>
    <n v="0.29440848031"/>
    <x v="9"/>
    <s v="2045-2100"/>
  </r>
  <r>
    <x v="2"/>
    <n v="17.614279621000001"/>
    <n v="0.88513666160000004"/>
    <n v="0.31399926179999998"/>
    <x v="9"/>
    <s v="2100-2115"/>
  </r>
  <r>
    <x v="2"/>
    <n v="17.614279621000001"/>
    <n v="0.88513666160000004"/>
    <n v="0.31399926179999998"/>
    <x v="9"/>
    <s v="2115-2130"/>
  </r>
  <r>
    <x v="2"/>
    <n v="17.614279621000001"/>
    <n v="0.88513666160000004"/>
    <n v="0.31399926179999998"/>
    <x v="10"/>
    <s v="2130-2145"/>
  </r>
  <r>
    <x v="2"/>
    <n v="17.614279621000001"/>
    <n v="0.88513666160000004"/>
    <n v="0.31399926179999998"/>
    <x v="10"/>
    <s v="2145-2200"/>
  </r>
  <r>
    <x v="2"/>
    <n v="16.858937282999999"/>
    <n v="0.90182084456"/>
    <n v="0.39354353752999999"/>
    <x v="10"/>
    <s v="2200-2215"/>
  </r>
  <r>
    <x v="2"/>
    <n v="16.858937282999999"/>
    <n v="0.90182084456"/>
    <n v="0.39354353752999999"/>
    <x v="10"/>
    <s v="2215-2230"/>
  </r>
  <r>
    <x v="2"/>
    <n v="16.858937282999999"/>
    <n v="0.90182084456"/>
    <n v="0.39354353752999999"/>
    <x v="10"/>
    <s v="2230-2245"/>
  </r>
  <r>
    <x v="2"/>
    <n v="16.858937282999999"/>
    <n v="0.90182084456"/>
    <n v="0.39354353752999999"/>
    <x v="10"/>
    <s v="2245-2300"/>
  </r>
  <r>
    <x v="2"/>
    <n v="17.089197345999999"/>
    <n v="0.89587009833999998"/>
    <n v="0.41081259673999998"/>
    <x v="10"/>
    <s v="2300-2315"/>
  </r>
  <r>
    <x v="2"/>
    <n v="17.089197345999999"/>
    <n v="0.89587009833999998"/>
    <n v="0.41081259673999998"/>
    <x v="10"/>
    <s v="2315-2330"/>
  </r>
  <r>
    <x v="2"/>
    <n v="17.089197345999999"/>
    <n v="0.89587009833999998"/>
    <n v="0.41081259673999998"/>
    <x v="10"/>
    <s v="2330-2345"/>
  </r>
  <r>
    <x v="2"/>
    <n v="17.089197345999999"/>
    <n v="0.89587009833999998"/>
    <n v="0.41081259673999998"/>
    <x v="10"/>
    <s v="2345-2400"/>
  </r>
  <r>
    <x v="3"/>
    <n v="16.342807524000001"/>
    <n v="0.79828669448"/>
    <n v="0.54107039813000002"/>
    <x v="0"/>
    <s v="0000-0015"/>
  </r>
  <r>
    <x v="3"/>
    <n v="16.342807524000001"/>
    <n v="0.79828669448"/>
    <n v="0.54107039813000002"/>
    <x v="0"/>
    <s v="0015-0030"/>
  </r>
  <r>
    <x v="3"/>
    <n v="16.342807524000001"/>
    <n v="0.79828669448"/>
    <n v="0.54107039813000002"/>
    <x v="0"/>
    <s v="0030-0045"/>
  </r>
  <r>
    <x v="3"/>
    <n v="16.342807524000001"/>
    <n v="0.79828669448"/>
    <n v="0.54107039813000002"/>
    <x v="0"/>
    <s v="0045-0100"/>
  </r>
  <r>
    <x v="3"/>
    <n v="15.799508455"/>
    <n v="0.81765597942000001"/>
    <n v="0.54898144198999999"/>
    <x v="0"/>
    <s v="0100-0115"/>
  </r>
  <r>
    <x v="3"/>
    <n v="15.799508455"/>
    <n v="0.81765597942000001"/>
    <n v="0.54898144198999999"/>
    <x v="0"/>
    <s v="0115-0130"/>
  </r>
  <r>
    <x v="3"/>
    <n v="15.799508455"/>
    <n v="0.81765597942000001"/>
    <n v="0.54898144198999999"/>
    <x v="0"/>
    <s v="0130-0145"/>
  </r>
  <r>
    <x v="3"/>
    <n v="15.799508455"/>
    <n v="0.81765597942000001"/>
    <n v="0.54898144198999999"/>
    <x v="0"/>
    <s v="0145-0200"/>
  </r>
  <r>
    <x v="3"/>
    <n v="14.093914982999999"/>
    <n v="0.87745919626000002"/>
    <n v="0.57793805709000001"/>
    <x v="0"/>
    <s v="0200-0215"/>
  </r>
  <r>
    <x v="3"/>
    <n v="14.093914982999999"/>
    <n v="0.87745919626000002"/>
    <n v="0.57793805709000001"/>
    <x v="0"/>
    <s v="0215-0230"/>
  </r>
  <r>
    <x v="3"/>
    <n v="14.093914982999999"/>
    <n v="0.87745919626000002"/>
    <n v="0.57793805709000001"/>
    <x v="0"/>
    <s v="0230-0245"/>
  </r>
  <r>
    <x v="3"/>
    <n v="14.093914982999999"/>
    <n v="0.87745919626000002"/>
    <n v="0.57793805709000001"/>
    <x v="0"/>
    <s v="0245-0300"/>
  </r>
  <r>
    <x v="3"/>
    <n v="14.603408658999999"/>
    <n v="0.87921375891999998"/>
    <n v="0.41256335301000002"/>
    <x v="0"/>
    <s v="0300-0315"/>
  </r>
  <r>
    <x v="3"/>
    <n v="14.603408658999999"/>
    <n v="0.87921375891999998"/>
    <n v="0.41256335301000002"/>
    <x v="0"/>
    <s v="0315-0330"/>
  </r>
  <r>
    <x v="3"/>
    <n v="14.603408658999999"/>
    <n v="0.87921375891999998"/>
    <n v="0.41256335301000002"/>
    <x v="0"/>
    <s v="0330-0345"/>
  </r>
  <r>
    <x v="3"/>
    <n v="14.603408658999999"/>
    <n v="0.87921375891999998"/>
    <n v="0.41256335301000002"/>
    <x v="0"/>
    <s v="0345-0400"/>
  </r>
  <r>
    <x v="3"/>
    <n v="14.238504316"/>
    <n v="0.87663301051999998"/>
    <n v="0.47910987352000001"/>
    <x v="1"/>
    <s v="0400-0415"/>
  </r>
  <r>
    <x v="3"/>
    <n v="14.238504316"/>
    <n v="0.87663301051999998"/>
    <n v="0.47910987352000001"/>
    <x v="1"/>
    <s v="0415-0430"/>
  </r>
  <r>
    <x v="3"/>
    <n v="14.238504316"/>
    <n v="0.87663301051999998"/>
    <n v="0.47910987352000001"/>
    <x v="1"/>
    <s v="0430-0445"/>
  </r>
  <r>
    <x v="3"/>
    <n v="14.238504316"/>
    <n v="0.87663301051999998"/>
    <n v="0.47910987352000001"/>
    <x v="1"/>
    <s v="0445-0500"/>
  </r>
  <r>
    <x v="3"/>
    <n v="14.003526619000001"/>
    <n v="0.85269689802000004"/>
    <n v="0.58004114852999999"/>
    <x v="1"/>
    <s v="0500-0515"/>
  </r>
  <r>
    <x v="3"/>
    <n v="14.003526619000001"/>
    <n v="0.85269689802000004"/>
    <n v="0.58004114852999999"/>
    <x v="1"/>
    <s v="0515-0530"/>
  </r>
  <r>
    <x v="3"/>
    <n v="14.003526619000001"/>
    <n v="0.85269689802000004"/>
    <n v="0.58004114852999999"/>
    <x v="1"/>
    <s v="0530-0545"/>
  </r>
  <r>
    <x v="3"/>
    <n v="14.003526619000001"/>
    <n v="0.85269689802000004"/>
    <n v="0.58004114852999999"/>
    <x v="1"/>
    <s v="0545-0600"/>
  </r>
  <r>
    <x v="3"/>
    <n v="14.267109323"/>
    <n v="0.84270600359000003"/>
    <n v="0.76383159176000004"/>
    <x v="2"/>
    <s v="0600-0615"/>
  </r>
  <r>
    <x v="3"/>
    <n v="14.267109323"/>
    <n v="0.84270600359000003"/>
    <n v="0.76383159176000004"/>
    <x v="2"/>
    <s v="0615-0630"/>
  </r>
  <r>
    <x v="3"/>
    <n v="14.267109323"/>
    <n v="0.84270600359000003"/>
    <n v="0.76383159176000004"/>
    <x v="2"/>
    <s v="0630-0645"/>
  </r>
  <r>
    <x v="3"/>
    <n v="14.267109323"/>
    <n v="0.84270600359000003"/>
    <n v="0.76383159176000004"/>
    <x v="2"/>
    <s v="0645-0700"/>
  </r>
  <r>
    <x v="3"/>
    <n v="16.212880878"/>
    <n v="0.83442306098999997"/>
    <n v="0.84401915954999995"/>
    <x v="2"/>
    <s v="0700-0715"/>
  </r>
  <r>
    <x v="3"/>
    <n v="16.212880878"/>
    <n v="0.83442306098999997"/>
    <n v="0.84401915954999995"/>
    <x v="2"/>
    <s v="0715-0730"/>
  </r>
  <r>
    <x v="3"/>
    <n v="16.212880878"/>
    <n v="0.83442306098999997"/>
    <n v="0.84401915954999995"/>
    <x v="2"/>
    <s v="0730-0745"/>
  </r>
  <r>
    <x v="3"/>
    <n v="16.212880878"/>
    <n v="0.83442306098999997"/>
    <n v="0.84401915954999995"/>
    <x v="2"/>
    <s v="0745-0800"/>
  </r>
  <r>
    <x v="3"/>
    <n v="17.30207824"/>
    <n v="0.78706787245999998"/>
    <n v="0.83400215170000003"/>
    <x v="3"/>
    <s v="0800-0815"/>
  </r>
  <r>
    <x v="3"/>
    <n v="17.30207824"/>
    <n v="0.78706787245999998"/>
    <n v="0.83400215170000003"/>
    <x v="3"/>
    <s v="0815-0830"/>
  </r>
  <r>
    <x v="3"/>
    <n v="17.30207824"/>
    <n v="0.78706787245999998"/>
    <n v="0.83400215170000003"/>
    <x v="3"/>
    <s v="0830-0845"/>
  </r>
  <r>
    <x v="3"/>
    <n v="17.30207824"/>
    <n v="0.78706787245999998"/>
    <n v="0.83400215170000003"/>
    <x v="3"/>
    <s v="0845-0900"/>
  </r>
  <r>
    <x v="3"/>
    <n v="18.703742072000001"/>
    <n v="0.74636705119000002"/>
    <n v="0.82784234745999996"/>
    <x v="4"/>
    <s v="0900-0915"/>
  </r>
  <r>
    <x v="3"/>
    <n v="18.703742072000001"/>
    <n v="0.74636705119000002"/>
    <n v="0.82784234745999996"/>
    <x v="4"/>
    <s v="0915-0930"/>
  </r>
  <r>
    <x v="3"/>
    <n v="18.703742072000001"/>
    <n v="0.74636705119000002"/>
    <n v="0.82784234745999996"/>
    <x v="4"/>
    <s v="0930-0945"/>
  </r>
  <r>
    <x v="3"/>
    <n v="18.703742072000001"/>
    <n v="0.74636705119000002"/>
    <n v="0.82784234745999996"/>
    <x v="4"/>
    <s v="0945-1000"/>
  </r>
  <r>
    <x v="3"/>
    <n v="19.538846504999999"/>
    <n v="0.70231869530000002"/>
    <n v="0.81782533961000003"/>
    <x v="5"/>
    <s v="1000-1015"/>
  </r>
  <r>
    <x v="3"/>
    <n v="19.538846504999999"/>
    <n v="0.70231869530000002"/>
    <n v="0.81782533961000003"/>
    <x v="5"/>
    <s v="1015-1030"/>
  </r>
  <r>
    <x v="3"/>
    <n v="19.538846504999999"/>
    <n v="0.70231869530000002"/>
    <n v="0.81782533961000003"/>
    <x v="5"/>
    <s v="1030-1045"/>
  </r>
  <r>
    <x v="3"/>
    <n v="19.538846504999999"/>
    <n v="0.70231869530000002"/>
    <n v="0.81782533961000003"/>
    <x v="5"/>
    <s v="1045-1100"/>
  </r>
  <r>
    <x v="3"/>
    <n v="20.788221798999999"/>
    <n v="0.66091454270000005"/>
    <n v="0.81011093238999998"/>
    <x v="5"/>
    <s v="1100-1115"/>
  </r>
  <r>
    <x v="3"/>
    <n v="20.788221798999999"/>
    <n v="0.66091454270000005"/>
    <n v="0.81011093238999998"/>
    <x v="5"/>
    <s v="1115-1130"/>
  </r>
  <r>
    <x v="3"/>
    <n v="20.788221798999999"/>
    <n v="0.66091454270000005"/>
    <n v="0.81011093238999998"/>
    <x v="5"/>
    <s v="1130-1145"/>
  </r>
  <r>
    <x v="3"/>
    <n v="20.788221798999999"/>
    <n v="0.66091454270000005"/>
    <n v="0.81011093238999998"/>
    <x v="5"/>
    <s v="1145-1200"/>
  </r>
  <r>
    <x v="3"/>
    <n v="22.175222944000001"/>
    <n v="0.57276762295000005"/>
    <n v="0.80075655389"/>
    <x v="6"/>
    <s v="1200-1215"/>
  </r>
  <r>
    <x v="3"/>
    <n v="22.175222944000001"/>
    <n v="0.57276762295000005"/>
    <n v="0.80075655389"/>
    <x v="6"/>
    <s v="1215-1230"/>
  </r>
  <r>
    <x v="3"/>
    <n v="22.175222944000001"/>
    <n v="0.57276762295000005"/>
    <n v="0.80075655389"/>
    <x v="6"/>
    <s v="1230-1245"/>
  </r>
  <r>
    <x v="3"/>
    <n v="22.175222944000001"/>
    <n v="0.57276762295000005"/>
    <n v="0.80075655389"/>
    <x v="6"/>
    <s v="1245-1300"/>
  </r>
  <r>
    <x v="3"/>
    <n v="22.695587584999998"/>
    <n v="0.52375388624999997"/>
    <n v="0.82357881192000004"/>
    <x v="6"/>
    <s v="1300-1315"/>
  </r>
  <r>
    <x v="3"/>
    <n v="22.695587584999998"/>
    <n v="0.52375388624999997"/>
    <n v="0.82357881192000004"/>
    <x v="6"/>
    <s v="1315-1330"/>
  </r>
  <r>
    <x v="3"/>
    <n v="22.695587584999998"/>
    <n v="0.52375388624999997"/>
    <n v="0.82357881192000004"/>
    <x v="6"/>
    <s v="1330-1345"/>
  </r>
  <r>
    <x v="3"/>
    <n v="22.695587584999998"/>
    <n v="0.52375388624999997"/>
    <n v="0.82357881192000004"/>
    <x v="6"/>
    <s v="1345-1400"/>
  </r>
  <r>
    <x v="3"/>
    <n v="23.203827950000001"/>
    <n v="0.53850684453999997"/>
    <n v="0.83589842039999995"/>
    <x v="7"/>
    <s v="1400-1415"/>
  </r>
  <r>
    <x v="3"/>
    <n v="23.203827950000001"/>
    <n v="0.53850684453999997"/>
    <n v="0.83589842039999995"/>
    <x v="7"/>
    <s v="1415-1430"/>
  </r>
  <r>
    <x v="3"/>
    <n v="23.203827950000001"/>
    <n v="0.53850684453999997"/>
    <n v="0.83589842039999995"/>
    <x v="7"/>
    <s v="1430-1445"/>
  </r>
  <r>
    <x v="3"/>
    <n v="23.203827950000001"/>
    <n v="0.53850684453999997"/>
    <n v="0.83589842039999995"/>
    <x v="7"/>
    <s v="1445-1500"/>
  </r>
  <r>
    <x v="3"/>
    <n v="23.222943182000002"/>
    <n v="0.56057756267000003"/>
    <n v="0.68995049658999996"/>
    <x v="7"/>
    <s v="1500-1515"/>
  </r>
  <r>
    <x v="3"/>
    <n v="23.222943182000002"/>
    <n v="0.56057756267000003"/>
    <n v="0.68995049658999996"/>
    <x v="7"/>
    <s v="1515-1530"/>
  </r>
  <r>
    <x v="3"/>
    <n v="23.222943182000002"/>
    <n v="0.56057756267000003"/>
    <n v="0.68995049658999996"/>
    <x v="7"/>
    <s v="1530-1545"/>
  </r>
  <r>
    <x v="3"/>
    <n v="23.222943182000002"/>
    <n v="0.56057756267000003"/>
    <n v="0.68995049658999996"/>
    <x v="7"/>
    <s v="1545-1600"/>
  </r>
  <r>
    <x v="3"/>
    <n v="23.03242418"/>
    <n v="0.56779811241"/>
    <n v="0.72147277380999997"/>
    <x v="7"/>
    <s v="1600-1615"/>
  </r>
  <r>
    <x v="3"/>
    <n v="23.03242418"/>
    <n v="0.56779811241"/>
    <n v="0.72147277380999997"/>
    <x v="7"/>
    <s v="1615-1630"/>
  </r>
  <r>
    <x v="3"/>
    <n v="23.03242418"/>
    <n v="0.56779811241"/>
    <n v="0.72147277380999997"/>
    <x v="7"/>
    <s v="1630-1645"/>
  </r>
  <r>
    <x v="3"/>
    <n v="23.03242418"/>
    <n v="0.56779811241"/>
    <n v="0.72147277380999997"/>
    <x v="7"/>
    <s v="1645-1700"/>
  </r>
  <r>
    <x v="3"/>
    <n v="22.557506455999999"/>
    <n v="0.58209825611999999"/>
    <n v="0.75424624331000001"/>
    <x v="8"/>
    <s v="1700-1715"/>
  </r>
  <r>
    <x v="3"/>
    <n v="22.557506455999999"/>
    <n v="0.58209825611999999"/>
    <n v="0.75424624331000001"/>
    <x v="8"/>
    <s v="1715-1730"/>
  </r>
  <r>
    <x v="3"/>
    <n v="22.557506455999999"/>
    <n v="0.58209825611999999"/>
    <n v="0.75424624331000001"/>
    <x v="8"/>
    <s v="1730-1745"/>
  </r>
  <r>
    <x v="3"/>
    <n v="22.557506455999999"/>
    <n v="0.58209825611999999"/>
    <n v="0.75424624331000001"/>
    <x v="8"/>
    <s v="1745-1800"/>
  </r>
  <r>
    <x v="3"/>
    <n v="21.573449928999999"/>
    <n v="0.63025277550000003"/>
    <n v="0.78375390266"/>
    <x v="8"/>
    <s v="1800-1815"/>
  </r>
  <r>
    <x v="3"/>
    <n v="21.573449928999999"/>
    <n v="0.63025277550000003"/>
    <n v="0.78375390266"/>
    <x v="8"/>
    <s v="1815-1830"/>
  </r>
  <r>
    <x v="3"/>
    <n v="21.573449928999999"/>
    <n v="0.63025277550000003"/>
    <n v="0.78375390266"/>
    <x v="9"/>
    <s v="1830-1845"/>
  </r>
  <r>
    <x v="3"/>
    <n v="21.573449928999999"/>
    <n v="0.63025277550000003"/>
    <n v="0.78375390266"/>
    <x v="9"/>
    <s v="1845-1900"/>
  </r>
  <r>
    <x v="3"/>
    <n v="20.015045013999998"/>
    <n v="0.71380647146999998"/>
    <n v="0.91275023789999998"/>
    <x v="9"/>
    <s v="1900-1915"/>
  </r>
  <r>
    <x v="3"/>
    <n v="20.015045013999998"/>
    <n v="0.71380647146999998"/>
    <n v="0.91275023789999998"/>
    <x v="9"/>
    <s v="1915-1930"/>
  </r>
  <r>
    <x v="3"/>
    <n v="20.015045013999998"/>
    <n v="0.71380647146999998"/>
    <n v="0.91275023789999998"/>
    <x v="9"/>
    <s v="1930-1945"/>
  </r>
  <r>
    <x v="3"/>
    <n v="20.015045013999998"/>
    <n v="0.71380647146999998"/>
    <n v="0.91275023789999998"/>
    <x v="9"/>
    <s v="1945-2000"/>
  </r>
  <r>
    <x v="3"/>
    <n v="18.73850041"/>
    <n v="0.76766712476999999"/>
    <n v="0.93377985399999996"/>
    <x v="9"/>
    <s v="2000-2015"/>
  </r>
  <r>
    <x v="3"/>
    <n v="18.73850041"/>
    <n v="0.76766712476999999"/>
    <n v="0.93377985399999996"/>
    <x v="9"/>
    <s v="2015-2030"/>
  </r>
  <r>
    <x v="3"/>
    <n v="18.73850041"/>
    <n v="0.76766712476999999"/>
    <n v="0.93377985399999996"/>
    <x v="9"/>
    <s v="2030-2045"/>
  </r>
  <r>
    <x v="3"/>
    <n v="18.73850041"/>
    <n v="0.76766712476999999"/>
    <n v="0.93377985399999996"/>
    <x v="9"/>
    <s v="2045-2100"/>
  </r>
  <r>
    <x v="3"/>
    <n v="18.321093066"/>
    <n v="0.75649441910000004"/>
    <n v="0.86156322252999995"/>
    <x v="9"/>
    <s v="2100-2115"/>
  </r>
  <r>
    <x v="3"/>
    <n v="18.321093066"/>
    <n v="0.75649441910000004"/>
    <n v="0.86156322252999995"/>
    <x v="9"/>
    <s v="2115-2130"/>
  </r>
  <r>
    <x v="3"/>
    <n v="18.321093066"/>
    <n v="0.75649441910000004"/>
    <n v="0.86156322252999995"/>
    <x v="10"/>
    <s v="2130-2145"/>
  </r>
  <r>
    <x v="3"/>
    <n v="18.321093066"/>
    <n v="0.75649441910000004"/>
    <n v="0.86156322252999995"/>
    <x v="10"/>
    <s v="2145-2200"/>
  </r>
  <r>
    <x v="3"/>
    <n v="17.540127292000001"/>
    <n v="0.78054449674000004"/>
    <n v="0.89403900669000003"/>
    <x v="10"/>
    <s v="2200-2215"/>
  </r>
  <r>
    <x v="3"/>
    <n v="17.540127292000001"/>
    <n v="0.78054449674000004"/>
    <n v="0.89403900669000003"/>
    <x v="10"/>
    <s v="2215-2230"/>
  </r>
  <r>
    <x v="3"/>
    <n v="17.540127292000001"/>
    <n v="0.78054449674000004"/>
    <n v="0.89403900669000003"/>
    <x v="10"/>
    <s v="2230-2245"/>
  </r>
  <r>
    <x v="3"/>
    <n v="17.540127292000001"/>
    <n v="0.78054449674000004"/>
    <n v="0.89403900669000003"/>
    <x v="10"/>
    <s v="2245-2300"/>
  </r>
  <r>
    <x v="3"/>
    <n v="17.606390226999999"/>
    <n v="0.73054248816"/>
    <n v="0.90965642028000004"/>
    <x v="10"/>
    <s v="2300-2315"/>
  </r>
  <r>
    <x v="3"/>
    <n v="17.606390226999999"/>
    <n v="0.73054248816"/>
    <n v="0.90965642028000004"/>
    <x v="10"/>
    <s v="2315-2330"/>
  </r>
  <r>
    <x v="3"/>
    <n v="17.606390226999999"/>
    <n v="0.73054248816"/>
    <n v="0.90965642028000004"/>
    <x v="10"/>
    <s v="2330-2345"/>
  </r>
  <r>
    <x v="3"/>
    <n v="17.606390226999999"/>
    <n v="0.73054248816"/>
    <n v="0.90965642028000004"/>
    <x v="10"/>
    <s v="2345-24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6">
  <r>
    <s v="M1"/>
    <d v="2015-02-22T00:00:00"/>
    <x v="0"/>
    <n v="2854"/>
    <n v="2966"/>
    <n v="3007"/>
    <n v="3269"/>
    <n v="3376"/>
    <n v="2927"/>
    <n v="3129.31846603141"/>
    <n v="2978"/>
    <n v="2939"/>
    <n v="2927"/>
    <n v="3095"/>
    <n v="2962"/>
    <n v="2949"/>
    <n v="3041"/>
    <n v="3064"/>
    <n v="3050"/>
    <n v="3095"/>
    <n v="3144"/>
    <n v="3302"/>
    <n v="3138"/>
    <n v="3156"/>
    <n v="3233"/>
    <n v="3250"/>
    <n v="3005.04096615663"/>
    <n v="2944"/>
    <n v="3181"/>
    <n v="3063"/>
    <n v="3161"/>
    <n v="3198"/>
    <n v="3229"/>
    <n v="3221"/>
    <n v="3025.9668575831602"/>
    <n v="3038"/>
    <n v="3658"/>
    <n v="3098"/>
    <n v="2966"/>
    <n v="3863"/>
    <n v="3523"/>
    <n v="3204"/>
    <n v="2946"/>
    <n v="2753"/>
    <n v="3052"/>
    <n v="2717"/>
    <n v="3174.63700182191"/>
    <n v="3165.5497140464499"/>
    <n v="3168.94510942327"/>
    <n v="3226.6072064587402"/>
    <n v="3022.4001022623202"/>
    <n v="3147"/>
    <n v="3300"/>
    <n v="3141"/>
    <n v="3161"/>
    <n v="3183"/>
    <n v="3188"/>
    <n v="3008.06808317883"/>
    <n v="3023"/>
    <n v="3257"/>
    <n v="3059"/>
    <n v="3244"/>
    <n v="3241"/>
    <n v="3165"/>
    <n v="3183"/>
    <n v="2953.7946281866002"/>
    <n v="2948"/>
    <n v="3643"/>
    <n v="2993"/>
    <n v="2977"/>
    <n v="3771"/>
    <n v="3221"/>
    <n v="2982"/>
    <n v="2761"/>
    <n v="2623"/>
    <n v="2896"/>
    <n v="2597"/>
    <n v="3245"/>
    <n v="3245"/>
    <n v="3271"/>
    <n v="2857.9227533674398"/>
  </r>
  <r>
    <s v="M1"/>
    <d v="2015-02-22T00:00:00"/>
    <x v="1"/>
    <n v="2866"/>
    <n v="3018"/>
    <n v="3040"/>
    <n v="3269"/>
    <n v="3436"/>
    <n v="2957"/>
    <n v="3122.6867521124"/>
    <n v="2999"/>
    <n v="2957"/>
    <n v="2957"/>
    <n v="2953"/>
    <n v="2984"/>
    <n v="2966"/>
    <n v="3087"/>
    <n v="3105"/>
    <n v="3081"/>
    <n v="3054"/>
    <n v="3144"/>
    <n v="3302"/>
    <n v="3138"/>
    <n v="3156"/>
    <n v="3233"/>
    <n v="3250"/>
    <n v="3005.04096615663"/>
    <n v="2944"/>
    <n v="3182"/>
    <n v="3064"/>
    <n v="3162"/>
    <n v="3199"/>
    <n v="3231"/>
    <n v="3222"/>
    <n v="3027.1599864692998"/>
    <n v="3040"/>
    <n v="3658"/>
    <n v="3098"/>
    <n v="2966"/>
    <n v="3863"/>
    <n v="3524"/>
    <n v="3208"/>
    <n v="2977"/>
    <n v="2769"/>
    <n v="3087"/>
    <n v="2730"/>
    <n v="3220.63700182191"/>
    <n v="3211.5497140464499"/>
    <n v="3214.94510942327"/>
    <n v="3226.6072064587402"/>
    <n v="3022.4001022623202"/>
    <n v="3147"/>
    <n v="3300"/>
    <n v="3141"/>
    <n v="3161"/>
    <n v="3183"/>
    <n v="3188"/>
    <n v="3008.06808317883"/>
    <n v="3023"/>
    <n v="3258"/>
    <n v="3058"/>
    <n v="3245"/>
    <n v="3242"/>
    <n v="3166"/>
    <n v="3183"/>
    <n v="2954.3076282552101"/>
    <n v="2948"/>
    <n v="3643"/>
    <n v="2993"/>
    <n v="2977"/>
    <n v="3771"/>
    <n v="3222"/>
    <n v="2983"/>
    <n v="2790"/>
    <n v="2638"/>
    <n v="2929"/>
    <n v="2609"/>
    <n v="3291"/>
    <n v="3291"/>
    <n v="3317"/>
    <n v="2857.9227533674398"/>
  </r>
  <r>
    <s v="M1"/>
    <d v="2015-02-22T00:00:00"/>
    <x v="2"/>
    <n v="2858"/>
    <n v="2993"/>
    <n v="3082"/>
    <n v="3269"/>
    <n v="3454"/>
    <n v="2931"/>
    <n v="3122.3724962621"/>
    <n v="2998"/>
    <n v="2949"/>
    <n v="2931"/>
    <n v="2970"/>
    <n v="2986"/>
    <n v="2971"/>
    <n v="3089"/>
    <n v="3097"/>
    <n v="3064"/>
    <n v="3022"/>
    <n v="3144"/>
    <n v="3302"/>
    <n v="3138"/>
    <n v="3156"/>
    <n v="3233"/>
    <n v="3250"/>
    <n v="3005.04096615663"/>
    <n v="2944"/>
    <n v="3182"/>
    <n v="3066"/>
    <n v="3162"/>
    <n v="3199"/>
    <n v="3231"/>
    <n v="3222"/>
    <n v="3027.2019196984702"/>
    <n v="3041"/>
    <n v="3658"/>
    <n v="3098"/>
    <n v="2966"/>
    <n v="3863"/>
    <n v="3525"/>
    <n v="3204"/>
    <n v="3010"/>
    <n v="2785"/>
    <n v="3117"/>
    <n v="2756"/>
    <n v="3222.63700182191"/>
    <n v="3213.5497140464499"/>
    <n v="3216.94510942327"/>
    <n v="3226.6072064587402"/>
    <n v="3022.4001022623202"/>
    <n v="3147"/>
    <n v="3300"/>
    <n v="3141"/>
    <n v="3161"/>
    <n v="3183"/>
    <n v="3188"/>
    <n v="3008.06808317883"/>
    <n v="3023"/>
    <n v="3259"/>
    <n v="3061"/>
    <n v="3246"/>
    <n v="3243"/>
    <n v="3167"/>
    <n v="3182"/>
    <n v="2955.48122712235"/>
    <n v="2949"/>
    <n v="3643"/>
    <n v="2993"/>
    <n v="2977"/>
    <n v="3771"/>
    <n v="3222"/>
    <n v="2980"/>
    <n v="2821"/>
    <n v="2654"/>
    <n v="2957"/>
    <n v="2634"/>
    <n v="3293"/>
    <n v="3293"/>
    <n v="3319"/>
    <n v="2857.9227533674398"/>
  </r>
  <r>
    <s v="M1"/>
    <d v="2015-02-22T00:00:00"/>
    <x v="3"/>
    <n v="2907"/>
    <n v="3023"/>
    <n v="3094"/>
    <n v="3010"/>
    <n v="3457"/>
    <n v="2968"/>
    <n v="3079.57339887947"/>
    <n v="3002"/>
    <n v="2984"/>
    <n v="2968"/>
    <n v="2973"/>
    <n v="2981"/>
    <n v="2942"/>
    <n v="3072"/>
    <n v="3103"/>
    <n v="3090"/>
    <n v="3033"/>
    <n v="3144"/>
    <n v="3302"/>
    <n v="3138"/>
    <n v="3156"/>
    <n v="3233"/>
    <n v="3250"/>
    <n v="3005.04096615663"/>
    <n v="2938"/>
    <n v="3182"/>
    <n v="3064"/>
    <n v="3161"/>
    <n v="3195"/>
    <n v="3228"/>
    <n v="3219"/>
    <n v="3018.5655750166902"/>
    <n v="3035"/>
    <n v="3658"/>
    <n v="3098"/>
    <n v="2939"/>
    <n v="3863"/>
    <n v="3525"/>
    <n v="3207"/>
    <n v="3022"/>
    <n v="2792"/>
    <n v="3131"/>
    <n v="2760"/>
    <n v="3205.63700182191"/>
    <n v="3196.5497140464499"/>
    <n v="3199.94510942327"/>
    <n v="3226.6072064587402"/>
    <n v="3022.4001022623202"/>
    <n v="3147"/>
    <n v="3300"/>
    <n v="3141"/>
    <n v="3161"/>
    <n v="3183"/>
    <n v="3188"/>
    <n v="3008.06808317883"/>
    <n v="3017"/>
    <n v="3258"/>
    <n v="3060"/>
    <n v="3245"/>
    <n v="3241"/>
    <n v="3163"/>
    <n v="3175"/>
    <n v="2955.3473632896998"/>
    <n v="2949"/>
    <n v="3643"/>
    <n v="2993"/>
    <n v="2950"/>
    <n v="3771"/>
    <n v="3223"/>
    <n v="2983"/>
    <n v="2832"/>
    <n v="2661"/>
    <n v="2971"/>
    <n v="2638"/>
    <n v="3276"/>
    <n v="3276"/>
    <n v="3302"/>
    <n v="2857.9227533674398"/>
  </r>
  <r>
    <s v="M1"/>
    <d v="2015-02-22T00:00:00"/>
    <x v="4"/>
    <n v="2886"/>
    <n v="3029"/>
    <n v="2986"/>
    <n v="2817"/>
    <n v="3123"/>
    <n v="2945"/>
    <n v="3112.2968282986999"/>
    <n v="2935"/>
    <n v="2960"/>
    <n v="2945"/>
    <n v="2983"/>
    <n v="2925"/>
    <n v="2868"/>
    <n v="3006"/>
    <n v="3074"/>
    <n v="3077"/>
    <n v="3006"/>
    <n v="3143"/>
    <n v="3294"/>
    <n v="3139"/>
    <n v="3151"/>
    <n v="3244"/>
    <n v="3239"/>
    <n v="3000.2741575218802"/>
    <n v="2964"/>
    <n v="3117"/>
    <n v="3018"/>
    <n v="3101"/>
    <n v="3128"/>
    <n v="3161"/>
    <n v="3142"/>
    <n v="3018.0336572146498"/>
    <n v="3027"/>
    <n v="3499"/>
    <n v="3088"/>
    <n v="2933"/>
    <n v="3642"/>
    <n v="3414"/>
    <n v="3084"/>
    <n v="2937"/>
    <n v="2746"/>
    <n v="3067"/>
    <n v="2710"/>
    <n v="3140.15461127239"/>
    <n v="3128.2576991022502"/>
    <n v="3129.2064665385901"/>
    <n v="3209.3098602395899"/>
    <n v="3015.7730934958599"/>
    <n v="3141"/>
    <n v="3294"/>
    <n v="3139"/>
    <n v="3151"/>
    <n v="3187"/>
    <n v="3191"/>
    <n v="2987.4753320445202"/>
    <n v="3028"/>
    <n v="3254"/>
    <n v="3034"/>
    <n v="3250"/>
    <n v="3243"/>
    <n v="3164"/>
    <n v="3157"/>
    <n v="2946.1422503731601"/>
    <n v="2945"/>
    <n v="3616"/>
    <n v="3014"/>
    <n v="2930"/>
    <n v="3769"/>
    <n v="3211"/>
    <n v="2976"/>
    <n v="2784"/>
    <n v="2655"/>
    <n v="2892"/>
    <n v="2598"/>
    <n v="3222"/>
    <n v="3226"/>
    <n v="3232"/>
    <n v="2779.4324533146601"/>
  </r>
  <r>
    <s v="M1"/>
    <d v="2015-02-22T00:00:00"/>
    <x v="5"/>
    <n v="2881"/>
    <n v="3033"/>
    <n v="2984"/>
    <n v="2822"/>
    <n v="3202"/>
    <n v="2960"/>
    <n v="3168.5196187123502"/>
    <n v="2930"/>
    <n v="2957"/>
    <n v="2960"/>
    <n v="2899"/>
    <n v="2926"/>
    <n v="2870"/>
    <n v="2998"/>
    <n v="3076"/>
    <n v="3089"/>
    <n v="2929"/>
    <n v="3143"/>
    <n v="3294"/>
    <n v="3139"/>
    <n v="3151"/>
    <n v="3244"/>
    <n v="3239"/>
    <n v="3000.2741575218802"/>
    <n v="2964"/>
    <n v="3117"/>
    <n v="3017"/>
    <n v="3101"/>
    <n v="3128"/>
    <n v="3161"/>
    <n v="3142"/>
    <n v="3017.8131861792599"/>
    <n v="3026"/>
    <n v="3499"/>
    <n v="3084"/>
    <n v="2912"/>
    <n v="3642"/>
    <n v="3414"/>
    <n v="3083"/>
    <n v="2941"/>
    <n v="2747"/>
    <n v="3072"/>
    <n v="2711"/>
    <n v="3132.15461127239"/>
    <n v="3120.2576991022502"/>
    <n v="3121.2064665385901"/>
    <n v="3209.3098602395899"/>
    <n v="3015.7730934958599"/>
    <n v="3141"/>
    <n v="3294"/>
    <n v="3139"/>
    <n v="3151"/>
    <n v="3187"/>
    <n v="3191"/>
    <n v="2987.4753320445202"/>
    <n v="3028"/>
    <n v="3254"/>
    <n v="3034"/>
    <n v="3250"/>
    <n v="3243"/>
    <n v="3164"/>
    <n v="3157"/>
    <n v="2946.0791886117399"/>
    <n v="2945"/>
    <n v="3616"/>
    <n v="3010"/>
    <n v="2909"/>
    <n v="3769"/>
    <n v="3211"/>
    <n v="2977"/>
    <n v="2789"/>
    <n v="2656"/>
    <n v="2896"/>
    <n v="2599"/>
    <n v="3214"/>
    <n v="3218"/>
    <n v="3224"/>
    <n v="2779.4324533146601"/>
  </r>
  <r>
    <s v="M1"/>
    <d v="2015-02-22T00:00:00"/>
    <x v="6"/>
    <n v="2908"/>
    <n v="3032"/>
    <n v="3028"/>
    <n v="2831"/>
    <n v="3261"/>
    <n v="2944"/>
    <n v="3176.7662894991199"/>
    <n v="2947"/>
    <n v="2980"/>
    <n v="2944"/>
    <n v="2893"/>
    <n v="2949"/>
    <n v="2891"/>
    <n v="3018"/>
    <n v="3085"/>
    <n v="3087"/>
    <n v="2938"/>
    <n v="3143"/>
    <n v="3294"/>
    <n v="3139"/>
    <n v="3151"/>
    <n v="3244"/>
    <n v="3239"/>
    <n v="3000.2741575218802"/>
    <n v="2964"/>
    <n v="3117"/>
    <n v="3018"/>
    <n v="3101"/>
    <n v="3129"/>
    <n v="3161"/>
    <n v="3142"/>
    <n v="3014.2451904068098"/>
    <n v="3024"/>
    <n v="3499"/>
    <n v="3084"/>
    <n v="2913"/>
    <n v="3642"/>
    <n v="3414"/>
    <n v="3084"/>
    <n v="2933"/>
    <n v="2747"/>
    <n v="3066"/>
    <n v="2713"/>
    <n v="3152.15461127239"/>
    <n v="3140.2576991022502"/>
    <n v="3141.2064665385901"/>
    <n v="3209.3098602395899"/>
    <n v="3015.7730934958599"/>
    <n v="3141"/>
    <n v="3294"/>
    <n v="3139"/>
    <n v="3151"/>
    <n v="3187"/>
    <n v="3191"/>
    <n v="2987.4753320445202"/>
    <n v="3028"/>
    <n v="3255"/>
    <n v="3035"/>
    <n v="3250"/>
    <n v="3243"/>
    <n v="3164"/>
    <n v="3157"/>
    <n v="2943.3731462147098"/>
    <n v="2939"/>
    <n v="3616"/>
    <n v="3010"/>
    <n v="2916"/>
    <n v="3769"/>
    <n v="3211"/>
    <n v="2980"/>
    <n v="2781"/>
    <n v="2656"/>
    <n v="2890"/>
    <n v="2602"/>
    <n v="3234"/>
    <n v="3238"/>
    <n v="3244"/>
    <n v="2779.4324533146601"/>
  </r>
  <r>
    <s v="M1"/>
    <d v="2015-02-22T00:00:00"/>
    <x v="7"/>
    <n v="2907"/>
    <n v="3023"/>
    <n v="3034"/>
    <n v="2837"/>
    <n v="3290"/>
    <n v="2939"/>
    <n v="3121.7257227514701"/>
    <n v="2932"/>
    <n v="2978"/>
    <n v="2939"/>
    <n v="2903"/>
    <n v="2952"/>
    <n v="2893"/>
    <n v="3008"/>
    <n v="3077"/>
    <n v="3063"/>
    <n v="2924"/>
    <n v="3143"/>
    <n v="3294"/>
    <n v="3139"/>
    <n v="3151"/>
    <n v="3244"/>
    <n v="3239"/>
    <n v="3000.2741575218802"/>
    <n v="2964"/>
    <n v="3117"/>
    <n v="3019"/>
    <n v="3101"/>
    <n v="3129"/>
    <n v="3161"/>
    <n v="3142"/>
    <n v="3018.28271023978"/>
    <n v="3027"/>
    <n v="3499"/>
    <n v="3084"/>
    <n v="2913"/>
    <n v="3642"/>
    <n v="3414"/>
    <n v="3084"/>
    <n v="2933"/>
    <n v="2747"/>
    <n v="3065"/>
    <n v="2715"/>
    <n v="3142.15461127239"/>
    <n v="3130.2576991022502"/>
    <n v="3131.2064665385901"/>
    <n v="3209.3098602395899"/>
    <n v="3015.7730934958599"/>
    <n v="3141"/>
    <n v="3294"/>
    <n v="3139"/>
    <n v="3151"/>
    <n v="3187"/>
    <n v="3191"/>
    <n v="2987.4753320445202"/>
    <n v="3028"/>
    <n v="3255"/>
    <n v="3034"/>
    <n v="3250"/>
    <n v="3243"/>
    <n v="3164"/>
    <n v="3157"/>
    <n v="2947.7423673923699"/>
    <n v="2947"/>
    <n v="3616"/>
    <n v="3010"/>
    <n v="2916"/>
    <n v="3769"/>
    <n v="3211"/>
    <n v="2981"/>
    <n v="2781"/>
    <n v="2656"/>
    <n v="2890"/>
    <n v="2604"/>
    <n v="3224"/>
    <n v="3228"/>
    <n v="3234"/>
    <n v="2779.4324533146601"/>
  </r>
  <r>
    <s v="M1"/>
    <d v="2015-02-22T00:00:00"/>
    <x v="8"/>
    <n v="2925"/>
    <n v="2970"/>
    <n v="3033"/>
    <n v="2808"/>
    <n v="3398"/>
    <n v="2944"/>
    <n v="3095.3977155933399"/>
    <n v="2916"/>
    <n v="2980"/>
    <n v="2944"/>
    <n v="2908"/>
    <n v="2939"/>
    <n v="2866"/>
    <n v="2934"/>
    <n v="3042"/>
    <n v="3040"/>
    <n v="2915"/>
    <n v="3146"/>
    <n v="3193"/>
    <n v="3142"/>
    <n v="3160"/>
    <n v="3225"/>
    <n v="3233"/>
    <n v="3001.9592503590902"/>
    <n v="2934"/>
    <n v="3077"/>
    <n v="2904"/>
    <n v="3070"/>
    <n v="3083"/>
    <n v="3137"/>
    <n v="3116"/>
    <n v="2996.5393544584999"/>
    <n v="3005"/>
    <n v="3488"/>
    <n v="3066"/>
    <n v="2951"/>
    <n v="3627"/>
    <n v="3277"/>
    <n v="3022"/>
    <n v="2889"/>
    <n v="2726"/>
    <n v="3025"/>
    <n v="2694"/>
    <n v="3069.4305273894402"/>
    <n v="3057.0903572378602"/>
    <n v="3050.5306675955298"/>
    <n v="3151.6576398786101"/>
    <n v="3029.52930312427"/>
    <n v="3147"/>
    <n v="3196"/>
    <n v="3142"/>
    <n v="3153"/>
    <n v="3189"/>
    <n v="3188"/>
    <n v="2998.6348837145001"/>
    <n v="3033"/>
    <n v="3321"/>
    <n v="2907"/>
    <n v="3288"/>
    <n v="3232"/>
    <n v="3187"/>
    <n v="3153"/>
    <n v="2958.1343434462101"/>
    <n v="2958"/>
    <n v="3616"/>
    <n v="3075"/>
    <n v="2896"/>
    <n v="3705"/>
    <n v="3213"/>
    <n v="2992"/>
    <n v="2767"/>
    <n v="2669"/>
    <n v="2862"/>
    <n v="2618"/>
    <n v="3159"/>
    <n v="3162"/>
    <n v="3177"/>
    <n v="2759.7088070751402"/>
  </r>
  <r>
    <s v="M1"/>
    <d v="2015-02-22T00:00:00"/>
    <x v="9"/>
    <n v="2908"/>
    <n v="2964"/>
    <n v="3005"/>
    <n v="2801"/>
    <n v="3365"/>
    <n v="2953"/>
    <n v="3080.2126072361898"/>
    <n v="2910"/>
    <n v="2964"/>
    <n v="2953"/>
    <n v="2928"/>
    <n v="2926"/>
    <n v="2853"/>
    <n v="2943"/>
    <n v="3032"/>
    <n v="3025"/>
    <n v="2927"/>
    <n v="3146"/>
    <n v="3193"/>
    <n v="3142"/>
    <n v="3160"/>
    <n v="3225"/>
    <n v="3233"/>
    <n v="3001.9592503590902"/>
    <n v="2934"/>
    <n v="3077"/>
    <n v="2903"/>
    <n v="3069"/>
    <n v="3083"/>
    <n v="3136"/>
    <n v="3116"/>
    <n v="2996.6236053371199"/>
    <n v="3004"/>
    <n v="3488"/>
    <n v="3066"/>
    <n v="2951"/>
    <n v="3627"/>
    <n v="3278"/>
    <n v="3021"/>
    <n v="2866"/>
    <n v="2714"/>
    <n v="3002"/>
    <n v="2679"/>
    <n v="3078.4305273894402"/>
    <n v="3066.0903572378602"/>
    <n v="3059.5306675955298"/>
    <n v="3151.6576398786101"/>
    <n v="3029.52930312427"/>
    <n v="3147"/>
    <n v="3196"/>
    <n v="3142"/>
    <n v="3153"/>
    <n v="3189"/>
    <n v="3188"/>
    <n v="2998.6348837145001"/>
    <n v="3033"/>
    <n v="3321"/>
    <n v="2905"/>
    <n v="3288"/>
    <n v="3232"/>
    <n v="3186"/>
    <n v="3153"/>
    <n v="2958.37999809129"/>
    <n v="2958"/>
    <n v="3616"/>
    <n v="3075"/>
    <n v="2896"/>
    <n v="3705"/>
    <n v="3213"/>
    <n v="2993"/>
    <n v="2745"/>
    <n v="2658"/>
    <n v="2840"/>
    <n v="2603"/>
    <n v="3168"/>
    <n v="3171"/>
    <n v="3186"/>
    <n v="2759.7088070751402"/>
  </r>
  <r>
    <s v="M1"/>
    <d v="2015-02-22T00:00:00"/>
    <x v="10"/>
    <n v="2950"/>
    <n v="2950"/>
    <n v="2998"/>
    <n v="2794"/>
    <n v="3279"/>
    <n v="2980"/>
    <n v="3079.0757523757502"/>
    <n v="2941"/>
    <n v="2982"/>
    <n v="2980"/>
    <n v="2913"/>
    <n v="2931"/>
    <n v="2842"/>
    <n v="2927"/>
    <n v="3014"/>
    <n v="3012"/>
    <n v="2909"/>
    <n v="3146"/>
    <n v="3193"/>
    <n v="3142"/>
    <n v="3160"/>
    <n v="3225"/>
    <n v="3233"/>
    <n v="3001.9592503590902"/>
    <n v="2934"/>
    <n v="3077"/>
    <n v="2902"/>
    <n v="3070"/>
    <n v="3083"/>
    <n v="3136"/>
    <n v="3116"/>
    <n v="2996.1434962908802"/>
    <n v="3005"/>
    <n v="3488"/>
    <n v="3066"/>
    <n v="2951"/>
    <n v="3627"/>
    <n v="3278"/>
    <n v="3022"/>
    <n v="2859"/>
    <n v="2710"/>
    <n v="2994"/>
    <n v="2677"/>
    <n v="3062.4305273894402"/>
    <n v="3050.0903572378602"/>
    <n v="3043.5306675955298"/>
    <n v="3151.6576398786101"/>
    <n v="3029.52930312427"/>
    <n v="3147"/>
    <n v="3196"/>
    <n v="3142"/>
    <n v="3153"/>
    <n v="3189"/>
    <n v="3188"/>
    <n v="2998.6348837145001"/>
    <n v="3033"/>
    <n v="3321"/>
    <n v="2904"/>
    <n v="3288"/>
    <n v="3233"/>
    <n v="3186"/>
    <n v="3153"/>
    <n v="2958.7323774307602"/>
    <n v="2959"/>
    <n v="3616"/>
    <n v="3075"/>
    <n v="2896"/>
    <n v="3705"/>
    <n v="3213"/>
    <n v="2993"/>
    <n v="2739"/>
    <n v="2654"/>
    <n v="2832"/>
    <n v="2601"/>
    <n v="3152"/>
    <n v="3155"/>
    <n v="3170"/>
    <n v="2759.7088070751402"/>
  </r>
  <r>
    <s v="M1"/>
    <d v="2015-02-22T00:00:00"/>
    <x v="11"/>
    <n v="2924"/>
    <n v="2984"/>
    <n v="3018"/>
    <n v="2790"/>
    <n v="3279"/>
    <n v="2967"/>
    <n v="3096.3924077627798"/>
    <n v="2938"/>
    <n v="2970"/>
    <n v="2967"/>
    <n v="2918"/>
    <n v="2936"/>
    <n v="2856"/>
    <n v="2964"/>
    <n v="3042"/>
    <n v="3040"/>
    <n v="2919"/>
    <n v="3146"/>
    <n v="3193"/>
    <n v="3142"/>
    <n v="3160"/>
    <n v="3225"/>
    <n v="3233"/>
    <n v="3001.9592503590902"/>
    <n v="2934"/>
    <n v="3077"/>
    <n v="2902"/>
    <n v="3070"/>
    <n v="3083"/>
    <n v="3136"/>
    <n v="3116"/>
    <n v="2997.9661062391801"/>
    <n v="3005"/>
    <n v="3488"/>
    <n v="3066"/>
    <n v="2951"/>
    <n v="3627"/>
    <n v="3278"/>
    <n v="3019"/>
    <n v="2878"/>
    <n v="2720"/>
    <n v="3015"/>
    <n v="2684"/>
    <n v="3099.4305273894402"/>
    <n v="3087.0903572378602"/>
    <n v="3080.5306675955298"/>
    <n v="3151.6576398786101"/>
    <n v="3029.52930312427"/>
    <n v="3147"/>
    <n v="3196"/>
    <n v="3142"/>
    <n v="3153"/>
    <n v="3189"/>
    <n v="3188"/>
    <n v="2998.6348837145001"/>
    <n v="3033"/>
    <n v="3321"/>
    <n v="2905"/>
    <n v="3288"/>
    <n v="3233"/>
    <n v="3186"/>
    <n v="3153"/>
    <n v="2959.3762096482101"/>
    <n v="2959"/>
    <n v="3616"/>
    <n v="3075"/>
    <n v="2896"/>
    <n v="3705"/>
    <n v="3213"/>
    <n v="2991"/>
    <n v="2756"/>
    <n v="2663"/>
    <n v="2852"/>
    <n v="2607"/>
    <n v="3189"/>
    <n v="3192"/>
    <n v="3207"/>
    <n v="2759.7088070751402"/>
  </r>
  <r>
    <s v="M1"/>
    <d v="2015-02-22T00:00:00"/>
    <x v="12"/>
    <n v="2927"/>
    <n v="2917"/>
    <n v="2992"/>
    <n v="2773"/>
    <n v="3239"/>
    <n v="2958"/>
    <n v="3054.5010822682202"/>
    <n v="2933"/>
    <n v="2955"/>
    <n v="2958"/>
    <n v="2903"/>
    <n v="2910"/>
    <n v="2815"/>
    <n v="2913"/>
    <n v="2982"/>
    <n v="2982"/>
    <n v="2930"/>
    <n v="3143"/>
    <n v="3219"/>
    <n v="3150"/>
    <n v="3146"/>
    <n v="3169"/>
    <n v="3173"/>
    <n v="2972.4728077265099"/>
    <n v="2912"/>
    <n v="3084"/>
    <n v="3000"/>
    <n v="3068"/>
    <n v="3062"/>
    <n v="3064"/>
    <n v="3047"/>
    <n v="2985.3632285676299"/>
    <n v="2993"/>
    <n v="3514"/>
    <n v="3053"/>
    <n v="2979"/>
    <n v="3504"/>
    <n v="3181"/>
    <n v="3003"/>
    <n v="2829"/>
    <n v="2731"/>
    <n v="2922"/>
    <n v="2677"/>
    <n v="3044.7840711003701"/>
    <n v="3041.7799874890302"/>
    <n v="3038.69510293239"/>
    <n v="2956.2711473691002"/>
    <n v="2908.7718951633801"/>
    <n v="3146"/>
    <n v="3222"/>
    <n v="3141"/>
    <n v="3156"/>
    <n v="3190"/>
    <n v="3188"/>
    <n v="3153.9269990081898"/>
    <n v="3170"/>
    <n v="3235"/>
    <n v="2991"/>
    <n v="3274"/>
    <n v="3244"/>
    <n v="3214"/>
    <n v="3209"/>
    <n v="2966.3844975341699"/>
    <n v="2968"/>
    <n v="3642"/>
    <n v="3111"/>
    <n v="3009"/>
    <n v="3711"/>
    <n v="3228"/>
    <n v="3027"/>
    <n v="2728"/>
    <n v="2653"/>
    <n v="2850"/>
    <n v="2625"/>
    <n v="3135"/>
    <n v="3151"/>
    <n v="3167"/>
    <n v="2783.7158404392299"/>
  </r>
  <r>
    <s v="M1"/>
    <d v="2015-02-22T00:00:00"/>
    <x v="13"/>
    <n v="2941"/>
    <n v="2853"/>
    <n v="3006"/>
    <n v="2777"/>
    <n v="3215"/>
    <n v="2954"/>
    <n v="3046.82784066461"/>
    <n v="2923"/>
    <n v="2955"/>
    <n v="2954"/>
    <n v="2906"/>
    <n v="2902"/>
    <n v="2800"/>
    <n v="2865"/>
    <n v="2941"/>
    <n v="2939"/>
    <n v="2953"/>
    <n v="3143"/>
    <n v="3219"/>
    <n v="3150"/>
    <n v="3146"/>
    <n v="3169"/>
    <n v="3173"/>
    <n v="2972.4728077265099"/>
    <n v="2912"/>
    <n v="3083"/>
    <n v="2999"/>
    <n v="3068"/>
    <n v="3062"/>
    <n v="3064"/>
    <n v="3047"/>
    <n v="2981.2612935849202"/>
    <n v="2988"/>
    <n v="3514"/>
    <n v="3053"/>
    <n v="2979"/>
    <n v="3504"/>
    <n v="3181"/>
    <n v="3002"/>
    <n v="2836"/>
    <n v="2732"/>
    <n v="2924"/>
    <n v="2696"/>
    <n v="2996.7840711003701"/>
    <n v="2993.7799874890302"/>
    <n v="2990.69510293239"/>
    <n v="2956.2711473691002"/>
    <n v="2908.7718951633801"/>
    <n v="3146"/>
    <n v="3222"/>
    <n v="3141"/>
    <n v="3156"/>
    <n v="3190"/>
    <n v="3188"/>
    <n v="3153.9269990081898"/>
    <n v="3170"/>
    <n v="3235"/>
    <n v="2991"/>
    <n v="3273"/>
    <n v="3244"/>
    <n v="3214"/>
    <n v="3209"/>
    <n v="2964.47827869914"/>
    <n v="2966"/>
    <n v="3642"/>
    <n v="3111"/>
    <n v="3009"/>
    <n v="3711"/>
    <n v="3228"/>
    <n v="3026"/>
    <n v="2735"/>
    <n v="2654"/>
    <n v="2851"/>
    <n v="2643"/>
    <n v="3087"/>
    <n v="3103"/>
    <n v="3119"/>
    <n v="2783.7158404392299"/>
  </r>
  <r>
    <s v="M1"/>
    <d v="2015-02-22T00:00:00"/>
    <x v="14"/>
    <n v="2943"/>
    <n v="2800"/>
    <n v="3024"/>
    <n v="2772"/>
    <n v="3236"/>
    <n v="2952"/>
    <n v="3058.9300287958099"/>
    <n v="2914"/>
    <n v="2948"/>
    <n v="2952"/>
    <n v="2915"/>
    <n v="2897"/>
    <n v="2799"/>
    <n v="2820"/>
    <n v="2908"/>
    <n v="2905"/>
    <n v="2941"/>
    <n v="3143"/>
    <n v="3219"/>
    <n v="3150"/>
    <n v="3146"/>
    <n v="3169"/>
    <n v="3173"/>
    <n v="2972.4728077265099"/>
    <n v="2912"/>
    <n v="3085"/>
    <n v="3000"/>
    <n v="3067"/>
    <n v="3061"/>
    <n v="3064"/>
    <n v="3047"/>
    <n v="2978.8685140128"/>
    <n v="2985"/>
    <n v="3514"/>
    <n v="3053"/>
    <n v="2979"/>
    <n v="3504"/>
    <n v="3180"/>
    <n v="3000"/>
    <n v="2846"/>
    <n v="2736"/>
    <n v="2930"/>
    <n v="2716"/>
    <n v="2951.7840711003701"/>
    <n v="2948.7799874890302"/>
    <n v="2945.69510293239"/>
    <n v="2956.2711473691002"/>
    <n v="2908.7718951633801"/>
    <n v="3146"/>
    <n v="3222"/>
    <n v="3141"/>
    <n v="3156"/>
    <n v="3190"/>
    <n v="3188"/>
    <n v="3153.9269990081898"/>
    <n v="3170"/>
    <n v="3235"/>
    <n v="2991"/>
    <n v="3273"/>
    <n v="3244"/>
    <n v="3214"/>
    <n v="3209"/>
    <n v="2962.40367437847"/>
    <n v="2961"/>
    <n v="3642"/>
    <n v="3111"/>
    <n v="3009"/>
    <n v="3711"/>
    <n v="3227"/>
    <n v="3024"/>
    <n v="2745"/>
    <n v="2658"/>
    <n v="2857"/>
    <n v="2663"/>
    <n v="3042"/>
    <n v="3058"/>
    <n v="3074"/>
    <n v="2783.7158404392299"/>
  </r>
  <r>
    <s v="M1"/>
    <d v="2015-02-22T00:00:00"/>
    <x v="15"/>
    <n v="2918"/>
    <n v="2801"/>
    <n v="3057"/>
    <n v="2775"/>
    <n v="3249"/>
    <n v="2942"/>
    <n v="3060.6487971094002"/>
    <n v="2895"/>
    <n v="2932"/>
    <n v="2942"/>
    <n v="2936"/>
    <n v="2898"/>
    <n v="2812"/>
    <n v="2819"/>
    <n v="2914"/>
    <n v="2911"/>
    <n v="2934"/>
    <n v="3143"/>
    <n v="3219"/>
    <n v="3150"/>
    <n v="3146"/>
    <n v="3169"/>
    <n v="3173"/>
    <n v="2972.4728077265099"/>
    <n v="2912"/>
    <n v="3086"/>
    <n v="3002"/>
    <n v="3068"/>
    <n v="3062"/>
    <n v="3064"/>
    <n v="3047"/>
    <n v="2978.54479933834"/>
    <n v="2986"/>
    <n v="3514"/>
    <n v="3053"/>
    <n v="2979"/>
    <n v="3504"/>
    <n v="3179"/>
    <n v="2999"/>
    <n v="2872"/>
    <n v="2749"/>
    <n v="2956"/>
    <n v="2735"/>
    <n v="2950.7840711003701"/>
    <n v="2947.7799874890302"/>
    <n v="2944.69510293239"/>
    <n v="2956.2711473691002"/>
    <n v="2908.7718951633801"/>
    <n v="3146"/>
    <n v="3222"/>
    <n v="3141"/>
    <n v="3156"/>
    <n v="3190"/>
    <n v="3188"/>
    <n v="3153.9269990081898"/>
    <n v="3170"/>
    <n v="3234"/>
    <n v="2993"/>
    <n v="3273"/>
    <n v="3244"/>
    <n v="3214"/>
    <n v="3209"/>
    <n v="2961.8471641812198"/>
    <n v="2961"/>
    <n v="3642"/>
    <n v="3111"/>
    <n v="3009"/>
    <n v="3711"/>
    <n v="3228"/>
    <n v="3022"/>
    <n v="2770"/>
    <n v="2671"/>
    <n v="2882"/>
    <n v="2681"/>
    <n v="3041"/>
    <n v="3057"/>
    <n v="3073"/>
    <n v="2783.7158404392299"/>
  </r>
  <r>
    <s v="M2"/>
    <d v="2015-02-22T00:00:00"/>
    <x v="16"/>
    <n v="2915"/>
    <n v="2814"/>
    <n v="3040"/>
    <n v="2775"/>
    <n v="3199"/>
    <n v="2941"/>
    <n v="3041.5073064795502"/>
    <n v="2880"/>
    <n v="2935"/>
    <n v="2941"/>
    <n v="2979"/>
    <n v="2905"/>
    <n v="2828"/>
    <n v="2823"/>
    <n v="2928"/>
    <n v="2936"/>
    <n v="2945"/>
    <n v="3141"/>
    <n v="3211"/>
    <n v="3141"/>
    <n v="3150"/>
    <n v="3166"/>
    <n v="3169"/>
    <n v="2970.86553801338"/>
    <n v="2929"/>
    <n v="3101"/>
    <n v="3041"/>
    <n v="3110"/>
    <n v="3092"/>
    <n v="3055"/>
    <n v="3062"/>
    <n v="2939.74327532087"/>
    <n v="2940"/>
    <n v="3498"/>
    <n v="3010"/>
    <n v="2960"/>
    <n v="3498"/>
    <n v="3154"/>
    <n v="3004"/>
    <n v="2858"/>
    <n v="2769"/>
    <n v="2941"/>
    <n v="2732"/>
    <n v="2956.06626825892"/>
    <n v="2955.0380476250898"/>
    <n v="2967.9581880046799"/>
    <n v="2825.5071151183602"/>
    <n v="3148.1347063164098"/>
    <n v="3144"/>
    <n v="3202"/>
    <n v="3136"/>
    <n v="3158"/>
    <n v="3198"/>
    <n v="3197"/>
    <n v="3186.9935900472401"/>
    <n v="3151"/>
    <n v="3301"/>
    <n v="3047"/>
    <n v="3288"/>
    <n v="3314"/>
    <n v="3295"/>
    <n v="3278"/>
    <n v="2958.49510575879"/>
    <n v="2959"/>
    <n v="3631"/>
    <n v="3119"/>
    <n v="3118"/>
    <n v="3709"/>
    <n v="3246"/>
    <n v="3057"/>
    <n v="2755"/>
    <n v="2671"/>
    <n v="2859"/>
    <n v="2668"/>
    <n v="3057"/>
    <n v="3064"/>
    <n v="3087"/>
    <n v="1803.3229544102401"/>
  </r>
  <r>
    <s v="M2"/>
    <d v="2015-02-22T00:00:00"/>
    <x v="17"/>
    <n v="2981"/>
    <n v="3019"/>
    <n v="3123"/>
    <n v="2846"/>
    <n v="3187"/>
    <n v="3024"/>
    <n v="2997.26928890403"/>
    <n v="2976"/>
    <n v="3020"/>
    <n v="3024"/>
    <n v="2983"/>
    <n v="2995"/>
    <n v="2909"/>
    <n v="3009"/>
    <n v="3085"/>
    <n v="3094"/>
    <n v="2941"/>
    <n v="3142"/>
    <n v="3211"/>
    <n v="3142"/>
    <n v="3150"/>
    <n v="3168"/>
    <n v="3170"/>
    <n v="2981.6608922318201"/>
    <n v="2929"/>
    <n v="3107"/>
    <n v="3050"/>
    <n v="3113"/>
    <n v="3095"/>
    <n v="3059"/>
    <n v="3066"/>
    <n v="2954.2027923217602"/>
    <n v="2953"/>
    <n v="3498"/>
    <n v="3029"/>
    <n v="2991"/>
    <n v="3498"/>
    <n v="3158"/>
    <n v="3007"/>
    <n v="2938"/>
    <n v="2819"/>
    <n v="3035"/>
    <n v="2747"/>
    <n v="3142.06626825892"/>
    <n v="3141.0380476250898"/>
    <n v="3153.9581880046799"/>
    <n v="2825.5071151183602"/>
    <n v="3148.1347063164098"/>
    <n v="3145"/>
    <n v="3204"/>
    <n v="3136"/>
    <n v="3158"/>
    <n v="3198"/>
    <n v="3199"/>
    <n v="3198.57429750648"/>
    <n v="3151"/>
    <n v="3312"/>
    <n v="3060"/>
    <n v="3296"/>
    <n v="3318"/>
    <n v="3298"/>
    <n v="3282"/>
    <n v="2973.0387880379099"/>
    <n v="2981"/>
    <n v="3631"/>
    <n v="3139"/>
    <n v="3150"/>
    <n v="3709"/>
    <n v="3256"/>
    <n v="3078"/>
    <n v="2832"/>
    <n v="2719"/>
    <n v="2950"/>
    <n v="2683"/>
    <n v="3243"/>
    <n v="3250"/>
    <n v="3273"/>
    <n v="1803.3229544102401"/>
  </r>
  <r>
    <s v="M2"/>
    <d v="2015-02-22T00:00:00"/>
    <x v="18"/>
    <n v="3035"/>
    <n v="3066"/>
    <n v="3123"/>
    <n v="2925"/>
    <n v="3286"/>
    <n v="3077"/>
    <n v="3052.3302575919001"/>
    <n v="3032"/>
    <n v="3074"/>
    <n v="3077"/>
    <n v="3079"/>
    <n v="3042"/>
    <n v="2956"/>
    <n v="3043"/>
    <n v="3129"/>
    <n v="3135"/>
    <n v="3016"/>
    <n v="3144"/>
    <n v="3222"/>
    <n v="3146"/>
    <n v="3155"/>
    <n v="3177"/>
    <n v="3177"/>
    <n v="2984.3375028929599"/>
    <n v="2947"/>
    <n v="3116"/>
    <n v="3069"/>
    <n v="3122"/>
    <n v="3106"/>
    <n v="3070"/>
    <n v="3076"/>
    <n v="2954.24867531482"/>
    <n v="2958"/>
    <n v="3498"/>
    <n v="3045"/>
    <n v="3000"/>
    <n v="3498"/>
    <n v="3165"/>
    <n v="3026"/>
    <n v="2941"/>
    <n v="2822"/>
    <n v="3041"/>
    <n v="2744"/>
    <n v="3176.06626825892"/>
    <n v="3175.0380476250898"/>
    <n v="3187.9581880046799"/>
    <n v="2825.5071151183602"/>
    <n v="3148.1347063164098"/>
    <n v="3151"/>
    <n v="3220"/>
    <n v="3142"/>
    <n v="3174"/>
    <n v="3204"/>
    <n v="3208"/>
    <n v="3201.4456294166198"/>
    <n v="3170"/>
    <n v="3324"/>
    <n v="3070"/>
    <n v="3307"/>
    <n v="3328"/>
    <n v="3304"/>
    <n v="3288"/>
    <n v="2978.8806583238902"/>
    <n v="2989"/>
    <n v="3631"/>
    <n v="3156"/>
    <n v="3160"/>
    <n v="3709"/>
    <n v="3260"/>
    <n v="3096"/>
    <n v="2835"/>
    <n v="2722"/>
    <n v="2957"/>
    <n v="2679"/>
    <n v="3277"/>
    <n v="3284"/>
    <n v="3307"/>
    <n v="1803.3229544102401"/>
  </r>
  <r>
    <s v="M2"/>
    <d v="2015-02-22T00:00:00"/>
    <x v="19"/>
    <n v="3119"/>
    <n v="3088"/>
    <n v="3175"/>
    <n v="3039"/>
    <n v="3388"/>
    <n v="3144"/>
    <n v="3086.95685667831"/>
    <n v="3085"/>
    <n v="3146"/>
    <n v="3144"/>
    <n v="3139"/>
    <n v="3104"/>
    <n v="3006"/>
    <n v="3046"/>
    <n v="3162"/>
    <n v="3163"/>
    <n v="3109"/>
    <n v="3175"/>
    <n v="3262"/>
    <n v="3166"/>
    <n v="3209"/>
    <n v="3204"/>
    <n v="3205"/>
    <n v="3004.0112459680199"/>
    <n v="2992"/>
    <n v="3135"/>
    <n v="3094"/>
    <n v="3145"/>
    <n v="3127"/>
    <n v="3084"/>
    <n v="3099"/>
    <n v="2997.2540033036898"/>
    <n v="2985"/>
    <n v="3498"/>
    <n v="3102"/>
    <n v="3028"/>
    <n v="3498"/>
    <n v="3170"/>
    <n v="3042"/>
    <n v="2983"/>
    <n v="2850"/>
    <n v="3084"/>
    <n v="2774"/>
    <n v="3179.06626825892"/>
    <n v="3178.0380476250898"/>
    <n v="3190.9581880046799"/>
    <n v="2825.5071151183602"/>
    <n v="3148.1347063164098"/>
    <n v="3223"/>
    <n v="3259"/>
    <n v="3208"/>
    <n v="3259"/>
    <n v="3235"/>
    <n v="3244"/>
    <n v="3264.30060261168"/>
    <n v="3219"/>
    <n v="3344"/>
    <n v="3085"/>
    <n v="3319"/>
    <n v="3341"/>
    <n v="3318"/>
    <n v="3300"/>
    <n v="3020.80779733906"/>
    <n v="3022"/>
    <n v="3631"/>
    <n v="3214"/>
    <n v="3189"/>
    <n v="3709"/>
    <n v="3271"/>
    <n v="3115"/>
    <n v="2876"/>
    <n v="2750"/>
    <n v="2998"/>
    <n v="2709"/>
    <n v="3280"/>
    <n v="3287"/>
    <n v="3310"/>
    <n v="1803.3229544102401"/>
  </r>
  <r>
    <s v="M2"/>
    <d v="2015-02-22T00:00:00"/>
    <x v="20"/>
    <s v="NA"/>
    <n v="3069"/>
    <n v="3406"/>
    <n v="3216"/>
    <n v="3128"/>
    <n v="3225.39559811051"/>
    <n v="3119.2720917960901"/>
    <s v="NA"/>
    <s v="NA"/>
    <s v="NA"/>
    <s v="NA"/>
    <n v="3162"/>
    <n v="3058"/>
    <n v="3048"/>
    <n v="3228"/>
    <n v="3239"/>
    <n v="3134"/>
    <n v="3245"/>
    <n v="3315"/>
    <n v="3275"/>
    <n v="3332"/>
    <n v="3282"/>
    <n v="3275"/>
    <n v="3088.8919089807"/>
    <n v="3037"/>
    <n v="3214"/>
    <n v="3165"/>
    <n v="3190"/>
    <n v="3199"/>
    <n v="3175"/>
    <n v="3164"/>
    <n v="3122.5956612278601"/>
    <n v="3119"/>
    <n v="3494"/>
    <n v="3141"/>
    <n v="3152"/>
    <n v="3477"/>
    <n v="3206"/>
    <n v="3144"/>
    <n v="3160"/>
    <n v="2978"/>
    <n v="3345"/>
    <n v="2946"/>
    <n v="3185.7159609031501"/>
    <n v="3190.1289449714"/>
    <n v="3202.9157742122702"/>
    <n v="2834.2661049449598"/>
    <n v="3137.2931156148602"/>
    <n v="3329"/>
    <n v="3311"/>
    <n v="3340"/>
    <n v="3506"/>
    <n v="3635"/>
    <n v="3642"/>
    <n v="3342.1909148985901"/>
    <n v="3274"/>
    <n v="3387"/>
    <n v="3193"/>
    <n v="3375"/>
    <n v="3439"/>
    <n v="3486"/>
    <n v="3493"/>
    <n v="3210.3855194442099"/>
    <n v="3218"/>
    <n v="3625"/>
    <n v="3281"/>
    <n v="3264"/>
    <n v="3705"/>
    <n v="3310"/>
    <n v="3220"/>
    <n v="3039"/>
    <n v="2897"/>
    <n v="3146"/>
    <n v="2851"/>
    <n v="3282"/>
    <n v="3298"/>
    <n v="3314"/>
    <n v="1919.9105066382201"/>
  </r>
  <r>
    <s v="M2"/>
    <d v="2015-02-22T00:00:00"/>
    <x v="21"/>
    <s v="NA"/>
    <n v="3083"/>
    <n v="3522"/>
    <n v="3264"/>
    <n v="3267"/>
    <n v="3303.5839221943402"/>
    <n v="3198.8269158251101"/>
    <s v="NA"/>
    <s v="NA"/>
    <s v="NA"/>
    <s v="NA"/>
    <n v="3228"/>
    <n v="3126"/>
    <n v="3086"/>
    <n v="3265"/>
    <n v="3228"/>
    <n v="3266"/>
    <n v="3298"/>
    <n v="3379"/>
    <n v="3326"/>
    <n v="3398"/>
    <n v="3352"/>
    <n v="3347"/>
    <n v="3225.6217872279499"/>
    <n v="3167"/>
    <n v="3264"/>
    <n v="3238"/>
    <n v="3243"/>
    <n v="3263"/>
    <n v="3252"/>
    <n v="3259"/>
    <n v="3211.4678494940599"/>
    <n v="3210"/>
    <n v="3494"/>
    <n v="3266"/>
    <n v="3255"/>
    <n v="3477"/>
    <n v="3229"/>
    <n v="3192"/>
    <n v="3240"/>
    <n v="3059"/>
    <n v="3424"/>
    <n v="3014"/>
    <n v="3223.7159609031501"/>
    <n v="3228.1289449714"/>
    <n v="3240.9157742122702"/>
    <n v="2834.2661049449598"/>
    <n v="3137.2931156148602"/>
    <n v="3439"/>
    <n v="3381"/>
    <n v="3466"/>
    <n v="3746"/>
    <n v="3801"/>
    <n v="3846"/>
    <n v="3460.22674951405"/>
    <n v="3390"/>
    <n v="3464"/>
    <n v="3250"/>
    <n v="3460"/>
    <n v="3518"/>
    <n v="3554"/>
    <n v="3560"/>
    <n v="3331.56023569015"/>
    <n v="3339"/>
    <n v="3625"/>
    <n v="3411"/>
    <n v="3346"/>
    <n v="3705"/>
    <n v="3327"/>
    <n v="3271"/>
    <n v="3116"/>
    <n v="2976"/>
    <n v="3220"/>
    <n v="2918"/>
    <n v="3320"/>
    <n v="3336"/>
    <n v="3352"/>
    <n v="1919.9105066382201"/>
  </r>
  <r>
    <s v="M2"/>
    <d v="2015-02-22T00:00:00"/>
    <x v="22"/>
    <s v="NA"/>
    <n v="3130"/>
    <n v="3614"/>
    <n v="3286"/>
    <n v="3379"/>
    <n v="3370.7024892081199"/>
    <n v="3239.9477516545799"/>
    <s v="NA"/>
    <s v="NA"/>
    <s v="NA"/>
    <s v="NA"/>
    <n v="3307"/>
    <n v="3207"/>
    <n v="3152"/>
    <n v="3320"/>
    <n v="3290"/>
    <n v="3345"/>
    <n v="3355"/>
    <n v="3518"/>
    <n v="3384"/>
    <n v="3467"/>
    <n v="3424"/>
    <n v="3431"/>
    <n v="3232.13583390639"/>
    <n v="3216"/>
    <n v="3315"/>
    <n v="3358"/>
    <n v="3321"/>
    <n v="3333"/>
    <n v="3346"/>
    <n v="3340"/>
    <n v="3239.1610391835802"/>
    <n v="3242"/>
    <n v="3494"/>
    <n v="3303"/>
    <n v="3312"/>
    <n v="3477"/>
    <n v="3257"/>
    <n v="3257"/>
    <n v="3302"/>
    <n v="3126"/>
    <n v="3489"/>
    <n v="3064"/>
    <n v="3289.7159609031501"/>
    <n v="3294.1289449714"/>
    <n v="3306.9157742122702"/>
    <n v="2834.2661049449598"/>
    <n v="3137.2931156148602"/>
    <n v="3565"/>
    <n v="3532"/>
    <n v="3580"/>
    <n v="3935"/>
    <n v="3942"/>
    <n v="3939"/>
    <n v="3467.2145738937002"/>
    <n v="3431"/>
    <n v="3553"/>
    <n v="3352"/>
    <n v="3543"/>
    <n v="3632"/>
    <n v="3640"/>
    <n v="3630"/>
    <n v="3369.7377128385501"/>
    <n v="3380"/>
    <n v="3625"/>
    <n v="3450"/>
    <n v="3404"/>
    <n v="3705"/>
    <n v="3360"/>
    <n v="3344"/>
    <n v="3176"/>
    <n v="3042"/>
    <n v="3281"/>
    <n v="2966"/>
    <n v="3386"/>
    <n v="3402"/>
    <n v="3418"/>
    <n v="1919.9105066382201"/>
  </r>
  <r>
    <s v="M2"/>
    <d v="2015-02-22T00:00:00"/>
    <x v="23"/>
    <s v="NA"/>
    <n v="3229"/>
    <n v="3627"/>
    <n v="3301"/>
    <n v="3413"/>
    <n v="3419.5875827118998"/>
    <n v="3372.4787026901399"/>
    <s v="NA"/>
    <s v="NA"/>
    <s v="NA"/>
    <s v="NA"/>
    <n v="3383"/>
    <n v="3286"/>
    <n v="3212"/>
    <n v="3378"/>
    <n v="3410"/>
    <n v="3449"/>
    <n v="3397"/>
    <n v="3648"/>
    <n v="3427"/>
    <n v="3505"/>
    <n v="3460"/>
    <n v="3472"/>
    <n v="3232.13583390639"/>
    <n v="3221"/>
    <n v="3350"/>
    <n v="3397"/>
    <n v="3368"/>
    <n v="3375"/>
    <n v="3379"/>
    <n v="3385"/>
    <n v="3259.12392300703"/>
    <n v="3249"/>
    <n v="3494"/>
    <n v="3303"/>
    <n v="3343"/>
    <n v="3477"/>
    <n v="3285"/>
    <n v="3286"/>
    <n v="3317"/>
    <n v="3148"/>
    <n v="3514"/>
    <n v="3077"/>
    <n v="3349.7159609031501"/>
    <n v="3354.1289449714"/>
    <n v="3366.9157742122702"/>
    <n v="2834.2661049449598"/>
    <n v="3137.2931156148602"/>
    <n v="3698"/>
    <n v="3664"/>
    <n v="3690"/>
    <n v="4013"/>
    <n v="4022"/>
    <n v="4018"/>
    <n v="3467.2145738937002"/>
    <n v="3437"/>
    <n v="3609"/>
    <n v="3399"/>
    <n v="3594"/>
    <n v="3673"/>
    <n v="3674"/>
    <n v="3669"/>
    <n v="3391.1616451520199"/>
    <n v="3390"/>
    <n v="3625"/>
    <n v="3450"/>
    <n v="3436"/>
    <n v="3705"/>
    <n v="3385"/>
    <n v="3378"/>
    <n v="3191"/>
    <n v="3063"/>
    <n v="3304"/>
    <n v="2978"/>
    <n v="3446"/>
    <n v="3462"/>
    <n v="3478"/>
    <n v="1919.9105066382201"/>
  </r>
  <r>
    <s v="M3"/>
    <d v="2015-02-22T00:00:00"/>
    <x v="24"/>
    <s v="NA"/>
    <n v="3282"/>
    <n v="3870"/>
    <n v="3321"/>
    <n v="3565"/>
    <n v="3515.85147025676"/>
    <n v="3566.64754933225"/>
    <s v="NA"/>
    <s v="NA"/>
    <s v="NA"/>
    <s v="NA"/>
    <n v="3519"/>
    <n v="3428"/>
    <n v="3247"/>
    <n v="3500"/>
    <n v="3521"/>
    <n v="3547"/>
    <n v="3508"/>
    <n v="3719"/>
    <n v="3509"/>
    <n v="3498"/>
    <n v="3475"/>
    <n v="3491"/>
    <n v="3480.3416891714201"/>
    <n v="3447"/>
    <n v="3394"/>
    <n v="3453"/>
    <n v="3366"/>
    <n v="3391"/>
    <n v="3524"/>
    <n v="3491"/>
    <n v="3350.8283016354999"/>
    <n v="3335"/>
    <n v="3468"/>
    <n v="3446"/>
    <n v="3384"/>
    <n v="3436"/>
    <n v="3370"/>
    <n v="3366"/>
    <n v="3486"/>
    <n v="3337"/>
    <n v="3608"/>
    <n v="3204"/>
    <n v="3383.65574098771"/>
    <n v="3395.65095540935"/>
    <n v="3404.4314868544702"/>
    <n v="2941.18804040445"/>
    <n v="3743.31631483617"/>
    <n v="3866"/>
    <n v="3735"/>
    <n v="3834"/>
    <n v="4033"/>
    <n v="3993"/>
    <n v="4010"/>
    <n v="3641.7690704443698"/>
    <n v="3596"/>
    <n v="3640"/>
    <n v="3437"/>
    <n v="3656"/>
    <n v="3669"/>
    <n v="3719"/>
    <n v="3714"/>
    <n v="3446.68220705259"/>
    <n v="3457"/>
    <n v="3627"/>
    <n v="3583"/>
    <n v="3328"/>
    <n v="3691"/>
    <n v="3459"/>
    <n v="3444"/>
    <n v="3334"/>
    <n v="3222"/>
    <n v="3466"/>
    <n v="3097"/>
    <n v="3482"/>
    <n v="3501"/>
    <n v="3524"/>
    <n v="3306.0387604758498"/>
  </r>
  <r>
    <s v="M3"/>
    <d v="2015-02-22T00:00:00"/>
    <x v="25"/>
    <s v="NA"/>
    <n v="3276"/>
    <n v="4025"/>
    <n v="3365"/>
    <n v="3660"/>
    <n v="3585.8793582580802"/>
    <n v="3746.6690197457001"/>
    <s v="NA"/>
    <s v="NA"/>
    <s v="NA"/>
    <s v="NA"/>
    <n v="3607"/>
    <n v="3522"/>
    <n v="3250"/>
    <n v="3549"/>
    <n v="3556"/>
    <n v="3631"/>
    <n v="3525"/>
    <n v="3739"/>
    <n v="3524"/>
    <n v="3506"/>
    <n v="3475"/>
    <n v="3495"/>
    <n v="3754.03940855582"/>
    <n v="3617"/>
    <n v="3429"/>
    <n v="3467"/>
    <n v="3391"/>
    <n v="3414"/>
    <n v="3544"/>
    <n v="3502"/>
    <n v="3496.7353921352101"/>
    <n v="3465"/>
    <n v="3468"/>
    <n v="3662"/>
    <n v="3595"/>
    <n v="3436"/>
    <n v="3428"/>
    <n v="3478"/>
    <n v="3559"/>
    <n v="3406"/>
    <n v="3674"/>
    <n v="3250"/>
    <n v="3386.65574098771"/>
    <n v="3398.65095540935"/>
    <n v="3407.4314868544702"/>
    <n v="2941.18804040445"/>
    <n v="3743.31631483617"/>
    <n v="3927"/>
    <n v="3756"/>
    <n v="3899"/>
    <n v="4054"/>
    <n v="3995"/>
    <n v="4016"/>
    <n v="3861.6699166667499"/>
    <n v="3774"/>
    <n v="3652"/>
    <n v="3445"/>
    <n v="3678"/>
    <n v="3694"/>
    <n v="3740"/>
    <n v="3726"/>
    <n v="3543.6037697935799"/>
    <n v="3520"/>
    <n v="3627"/>
    <n v="3808"/>
    <n v="3536"/>
    <n v="3691"/>
    <n v="3512"/>
    <n v="3528"/>
    <n v="3403"/>
    <n v="3288"/>
    <n v="3529"/>
    <n v="3141"/>
    <n v="3485"/>
    <n v="3504"/>
    <n v="3527"/>
    <n v="3306.0387604758498"/>
  </r>
  <r>
    <s v="M3"/>
    <d v="2015-02-22T00:00:00"/>
    <x v="26"/>
    <s v="NA"/>
    <n v="3311"/>
    <n v="4136"/>
    <n v="3440"/>
    <n v="3795"/>
    <n v="3616.3422465920498"/>
    <n v="3801.1155754476599"/>
    <s v="NA"/>
    <s v="NA"/>
    <s v="NA"/>
    <s v="NA"/>
    <n v="3694"/>
    <n v="3612"/>
    <n v="3307"/>
    <n v="3605"/>
    <n v="3609"/>
    <n v="3626"/>
    <n v="3537"/>
    <n v="3740"/>
    <n v="3545"/>
    <n v="3508"/>
    <n v="3477"/>
    <n v="3495"/>
    <n v="3754.03940855582"/>
    <n v="3617"/>
    <n v="3442"/>
    <n v="3497"/>
    <n v="3407"/>
    <n v="3428"/>
    <n v="3562"/>
    <n v="3525"/>
    <n v="3503.9934131279601"/>
    <n v="3467"/>
    <n v="3468"/>
    <n v="3669"/>
    <n v="3582"/>
    <n v="3436"/>
    <n v="3456"/>
    <n v="3496"/>
    <n v="3608"/>
    <n v="3452"/>
    <n v="3722"/>
    <n v="3282"/>
    <n v="3443.65574098771"/>
    <n v="3455.65095540935"/>
    <n v="3464.4314868544702"/>
    <n v="2941.18804040445"/>
    <n v="3743.31631483617"/>
    <n v="3960"/>
    <n v="3766"/>
    <n v="3933"/>
    <n v="4058"/>
    <n v="3995"/>
    <n v="4016"/>
    <n v="3861.6699166667499"/>
    <n v="3774"/>
    <n v="3666"/>
    <n v="3470"/>
    <n v="3703"/>
    <n v="3712"/>
    <n v="3760"/>
    <n v="3749"/>
    <n v="3552.1644110083398"/>
    <n v="3529"/>
    <n v="3627"/>
    <n v="3808"/>
    <n v="3523"/>
    <n v="3691"/>
    <n v="3538"/>
    <n v="3547"/>
    <n v="3450"/>
    <n v="3333"/>
    <n v="3576"/>
    <n v="3172"/>
    <n v="3542"/>
    <n v="3561"/>
    <n v="3584"/>
    <n v="3306.0387604758498"/>
  </r>
  <r>
    <s v="M3"/>
    <d v="2015-02-22T00:00:00"/>
    <x v="27"/>
    <s v="NA"/>
    <n v="3436"/>
    <n v="4266"/>
    <n v="3513"/>
    <n v="4090"/>
    <n v="3673.4782470690002"/>
    <n v="3855.1535247093402"/>
    <s v="NA"/>
    <s v="NA"/>
    <s v="NA"/>
    <s v="NA"/>
    <n v="3822"/>
    <n v="3740"/>
    <n v="3452"/>
    <n v="3724"/>
    <n v="3734"/>
    <n v="3612"/>
    <n v="3547"/>
    <n v="3740"/>
    <n v="3556"/>
    <n v="3510"/>
    <n v="3477"/>
    <n v="3495"/>
    <n v="3835.1880504652199"/>
    <n v="3697"/>
    <n v="3452"/>
    <n v="3506"/>
    <n v="3417"/>
    <n v="3433"/>
    <n v="3568"/>
    <n v="3537"/>
    <n v="3517.31708230806"/>
    <n v="3479"/>
    <n v="3468"/>
    <n v="3742"/>
    <n v="3689"/>
    <n v="3436"/>
    <n v="3478"/>
    <n v="3524"/>
    <n v="3668"/>
    <n v="3524"/>
    <n v="3790"/>
    <n v="3344"/>
    <n v="3588.65574098771"/>
    <n v="3600.65095540935"/>
    <n v="3609.4314868544702"/>
    <n v="2941.18804040445"/>
    <n v="3743.31631483617"/>
    <n v="3966"/>
    <n v="3769"/>
    <n v="3938"/>
    <n v="4062"/>
    <n v="3995"/>
    <n v="4016"/>
    <n v="3945.1451376582299"/>
    <n v="3858"/>
    <n v="3677"/>
    <n v="3481"/>
    <n v="3713"/>
    <n v="3722"/>
    <n v="3768"/>
    <n v="3764"/>
    <n v="3564.7322349296701"/>
    <n v="3543"/>
    <n v="3627"/>
    <n v="3883"/>
    <n v="3621"/>
    <n v="3691"/>
    <n v="3556"/>
    <n v="3572"/>
    <n v="3507"/>
    <n v="3401"/>
    <n v="3640"/>
    <n v="3232"/>
    <n v="3687"/>
    <n v="3706"/>
    <n v="3729"/>
    <n v="3306.0387604758498"/>
  </r>
  <r>
    <s v="M3"/>
    <d v="2015-02-22T00:00:00"/>
    <x v="28"/>
    <s v="NA"/>
    <n v="3478"/>
    <n v="4478"/>
    <n v="3590"/>
    <n v="4609"/>
    <n v="3721.4180504005699"/>
    <n v="3947.7700981322"/>
    <s v="NA"/>
    <s v="NA"/>
    <s v="NA"/>
    <s v="NA"/>
    <n v="4024"/>
    <n v="3959"/>
    <n v="3513"/>
    <n v="3843"/>
    <n v="3866"/>
    <n v="3664"/>
    <n v="3567"/>
    <n v="4377"/>
    <n v="3579"/>
    <n v="3535"/>
    <n v="3569"/>
    <n v="3576"/>
    <n v="3855.9732953715102"/>
    <n v="3742"/>
    <n v="3415"/>
    <n v="4337"/>
    <n v="3441"/>
    <n v="3393"/>
    <n v="3591"/>
    <n v="3587"/>
    <n v="3526.5110892329999"/>
    <n v="3493"/>
    <n v="3442"/>
    <n v="3805"/>
    <n v="3841"/>
    <n v="3442"/>
    <n v="3520"/>
    <n v="3559"/>
    <n v="3741"/>
    <n v="3567"/>
    <n v="3917"/>
    <n v="3415"/>
    <n v="3643.67531411238"/>
    <n v="3652.6683094005102"/>
    <n v="3674.3272459824798"/>
    <n v="3235.8636567696199"/>
    <n v="3729.4255703917302"/>
    <n v="3939"/>
    <n v="4375"/>
    <n v="3922"/>
    <n v="4062"/>
    <n v="4004"/>
    <n v="4023"/>
    <n v="4082.3992314945599"/>
    <n v="4041"/>
    <n v="3679"/>
    <n v="4386"/>
    <n v="3691"/>
    <n v="3712"/>
    <n v="3791"/>
    <n v="3765"/>
    <n v="3590.6599600578602"/>
    <n v="3583"/>
    <n v="3598"/>
    <n v="3939"/>
    <n v="3528"/>
    <n v="3738"/>
    <n v="3591"/>
    <n v="3582"/>
    <n v="3605"/>
    <n v="3490"/>
    <n v="3712"/>
    <n v="3295"/>
    <n v="3777"/>
    <n v="3792"/>
    <n v="3821"/>
    <n v="3327.3175961038301"/>
  </r>
  <r>
    <s v="M3"/>
    <d v="2015-02-22T00:00:00"/>
    <x v="29"/>
    <s v="NA"/>
    <n v="3494"/>
    <n v="4567"/>
    <n v="3621"/>
    <n v="4577"/>
    <n v="3730.8515905960098"/>
    <n v="4000.23309794735"/>
    <s v="NA"/>
    <s v="NA"/>
    <s v="NA"/>
    <s v="NA"/>
    <n v="4081"/>
    <n v="4019"/>
    <n v="3580"/>
    <n v="3875"/>
    <n v="3856"/>
    <n v="3774"/>
    <n v="3567"/>
    <n v="4377"/>
    <n v="3579"/>
    <n v="3535"/>
    <n v="3569"/>
    <n v="3576"/>
    <n v="3855.9732953715102"/>
    <n v="3742"/>
    <n v="3415"/>
    <n v="4343"/>
    <n v="3442"/>
    <n v="3393"/>
    <n v="3592"/>
    <n v="3589"/>
    <n v="3529.1870979915898"/>
    <n v="3496"/>
    <n v="3442"/>
    <n v="3805"/>
    <n v="3841"/>
    <n v="3442"/>
    <n v="3525"/>
    <n v="3566"/>
    <n v="3765"/>
    <n v="3591"/>
    <n v="3941"/>
    <n v="3440"/>
    <n v="3710.67531411238"/>
    <n v="3719.6683094005102"/>
    <n v="3741.3272459824798"/>
    <n v="3235.8636567696199"/>
    <n v="3729.4255703917302"/>
    <n v="3939"/>
    <n v="4375"/>
    <n v="3922"/>
    <n v="4062"/>
    <n v="4004"/>
    <n v="4023"/>
    <n v="4082.3992314945599"/>
    <n v="4041"/>
    <n v="3679"/>
    <n v="4395"/>
    <n v="3693"/>
    <n v="3714"/>
    <n v="3792"/>
    <n v="3766"/>
    <n v="3591.49516842702"/>
    <n v="3583"/>
    <n v="3598"/>
    <n v="3939"/>
    <n v="3528"/>
    <n v="3738"/>
    <n v="3596"/>
    <n v="3584"/>
    <n v="3628"/>
    <n v="3513"/>
    <n v="3735"/>
    <n v="3319"/>
    <n v="3844"/>
    <n v="3859"/>
    <n v="3888"/>
    <n v="3327.3175961038301"/>
  </r>
  <r>
    <s v="M3"/>
    <d v="2015-02-22T00:00:00"/>
    <x v="30"/>
    <s v="NA"/>
    <n v="3362"/>
    <n v="4602"/>
    <n v="3600"/>
    <n v="4631"/>
    <n v="3680.4993626513801"/>
    <n v="4013.9765918708599"/>
    <s v="NA"/>
    <s v="NA"/>
    <s v="NA"/>
    <s v="NA"/>
    <n v="4055"/>
    <n v="3999"/>
    <n v="3490"/>
    <n v="3754"/>
    <n v="3764"/>
    <n v="3750"/>
    <n v="3567"/>
    <n v="4377"/>
    <n v="3579"/>
    <n v="3535"/>
    <n v="3569"/>
    <n v="3576"/>
    <n v="3835.0068866512702"/>
    <n v="3732"/>
    <n v="3415"/>
    <n v="4348"/>
    <n v="3443"/>
    <n v="3393"/>
    <n v="3592"/>
    <n v="3589"/>
    <n v="3515.6506236719902"/>
    <n v="3482"/>
    <n v="3442"/>
    <n v="3795"/>
    <n v="3815"/>
    <n v="3442"/>
    <n v="3502"/>
    <n v="3531"/>
    <n v="3758"/>
    <n v="3554"/>
    <n v="3920"/>
    <n v="3398"/>
    <n v="3620.67531411238"/>
    <n v="3629.6683094005102"/>
    <n v="3651.3272459824798"/>
    <n v="3235.8636567696199"/>
    <n v="3729.4255703917302"/>
    <n v="3939"/>
    <n v="4375"/>
    <n v="3922"/>
    <n v="4062"/>
    <n v="4004"/>
    <n v="4023"/>
    <n v="4066.4064299638899"/>
    <n v="4030"/>
    <n v="3680"/>
    <n v="4396"/>
    <n v="3693"/>
    <n v="3714"/>
    <n v="3791"/>
    <n v="3767"/>
    <n v="3578.6922923298898"/>
    <n v="3567"/>
    <n v="3598"/>
    <n v="3929"/>
    <n v="3509"/>
    <n v="3738"/>
    <n v="3574"/>
    <n v="3558"/>
    <n v="3622"/>
    <n v="3477"/>
    <n v="3715"/>
    <n v="3278"/>
    <n v="3754"/>
    <n v="3769"/>
    <n v="3798"/>
    <n v="3327.3175961038301"/>
  </r>
  <r>
    <s v="M3"/>
    <d v="2015-02-22T00:00:00"/>
    <x v="31"/>
    <s v="NA"/>
    <n v="3331"/>
    <n v="4569"/>
    <n v="3567"/>
    <n v="4700"/>
    <n v="3664.76495255277"/>
    <n v="3998.87678065305"/>
    <s v="NA"/>
    <s v="NA"/>
    <s v="NA"/>
    <s v="NA"/>
    <n v="4034"/>
    <n v="3978"/>
    <n v="3479"/>
    <n v="3716"/>
    <n v="3715"/>
    <n v="3765"/>
    <n v="3567"/>
    <n v="4377"/>
    <n v="3579"/>
    <n v="3535"/>
    <n v="3569"/>
    <n v="3576"/>
    <n v="3835.0068866512702"/>
    <n v="3732"/>
    <n v="3415"/>
    <n v="4349"/>
    <n v="3443"/>
    <n v="3393"/>
    <n v="3591"/>
    <n v="3589"/>
    <n v="3514.2148081648902"/>
    <n v="3481"/>
    <n v="3442"/>
    <n v="3795"/>
    <n v="3805"/>
    <n v="3442"/>
    <n v="3500"/>
    <n v="3530"/>
    <n v="3748"/>
    <n v="3538"/>
    <n v="3907"/>
    <n v="3382"/>
    <n v="3609.67531411238"/>
    <n v="3618.6683094005102"/>
    <n v="3640.3272459824798"/>
    <n v="3235.8636567696199"/>
    <n v="3729.4255703917302"/>
    <n v="3939"/>
    <n v="4375"/>
    <n v="3922"/>
    <n v="4062"/>
    <n v="4004"/>
    <n v="4023"/>
    <n v="4066.4064299638899"/>
    <n v="4030"/>
    <n v="3680"/>
    <n v="4396"/>
    <n v="3693"/>
    <n v="3713"/>
    <n v="3791"/>
    <n v="3766"/>
    <n v="3576.8469937831101"/>
    <n v="3565"/>
    <n v="3598"/>
    <n v="3929"/>
    <n v="3501"/>
    <n v="3738"/>
    <n v="3572"/>
    <n v="3558"/>
    <n v="3611"/>
    <n v="3462"/>
    <n v="3703"/>
    <n v="3263"/>
    <n v="3743"/>
    <n v="3758"/>
    <n v="3787"/>
    <n v="3327.3175961038301"/>
  </r>
  <r>
    <s v="M3A"/>
    <d v="2015-02-22T00:00:00"/>
    <x v="32"/>
    <s v="NA"/>
    <n v="3441"/>
    <n v="4675"/>
    <n v="3593"/>
    <n v="4769"/>
    <n v="3774.43577034891"/>
    <n v="4014.8343284860598"/>
    <s v="NA"/>
    <s v="NA"/>
    <s v="NA"/>
    <s v="NA"/>
    <n v="4127"/>
    <n v="4073"/>
    <n v="3523"/>
    <n v="3875"/>
    <n v="3892"/>
    <n v="3723"/>
    <n v="3572"/>
    <n v="4417"/>
    <n v="3559"/>
    <n v="3485"/>
    <n v="3560"/>
    <n v="3577"/>
    <n v="3782.93088788968"/>
    <n v="3751"/>
    <n v="3430"/>
    <n v="4466"/>
    <n v="3461"/>
    <n v="3360"/>
    <n v="3574"/>
    <n v="3583"/>
    <n v="3515.05804312194"/>
    <n v="3490"/>
    <n v="3443"/>
    <n v="3825"/>
    <n v="3811"/>
    <n v="3505"/>
    <n v="3544"/>
    <n v="3554"/>
    <n v="3832"/>
    <n v="3593"/>
    <n v="4006"/>
    <n v="3430"/>
    <n v="3648.1250712677202"/>
    <n v="3669.93522215041"/>
    <n v="3682.68562537356"/>
    <n v="4674.4634010642103"/>
    <n v="4172.6442063128998"/>
    <n v="3953"/>
    <n v="4412"/>
    <n v="3956"/>
    <n v="4082"/>
    <n v="4025"/>
    <n v="3994"/>
    <n v="4033.4723471840298"/>
    <n v="4034"/>
    <n v="3685"/>
    <n v="4458"/>
    <n v="3717"/>
    <n v="3764"/>
    <n v="3788"/>
    <n v="3809"/>
    <n v="3586.6716473145302"/>
    <n v="3585"/>
    <n v="3647"/>
    <n v="3961"/>
    <n v="3558"/>
    <n v="3742"/>
    <n v="3574"/>
    <n v="3574"/>
    <n v="3680"/>
    <n v="3501"/>
    <n v="3812"/>
    <n v="3313"/>
    <n v="3809"/>
    <n v="3828"/>
    <n v="3854"/>
    <n v="4673.25843164871"/>
  </r>
  <r>
    <s v="M3A"/>
    <d v="2015-02-22T00:00:00"/>
    <x v="33"/>
    <s v="NA"/>
    <n v="3564"/>
    <n v="4602"/>
    <n v="3575"/>
    <n v="4829"/>
    <n v="3799.2307250901299"/>
    <n v="4015.2638486722299"/>
    <s v="NA"/>
    <s v="NA"/>
    <s v="NA"/>
    <s v="NA"/>
    <n v="4154"/>
    <n v="4094"/>
    <n v="3603"/>
    <n v="3907"/>
    <n v="3920"/>
    <n v="3750"/>
    <n v="3572"/>
    <n v="4417"/>
    <n v="3559"/>
    <n v="3485"/>
    <n v="3560"/>
    <n v="3577"/>
    <n v="3802.5629176388602"/>
    <n v="3754"/>
    <n v="3431"/>
    <n v="4467"/>
    <n v="3462"/>
    <n v="3360"/>
    <n v="3574"/>
    <n v="3584"/>
    <n v="3527.76715612108"/>
    <n v="3501"/>
    <n v="3443"/>
    <n v="3835"/>
    <n v="3811"/>
    <n v="3505"/>
    <n v="3564"/>
    <n v="3574"/>
    <n v="3832"/>
    <n v="3625"/>
    <n v="4019"/>
    <n v="3468"/>
    <n v="3728.1250712677202"/>
    <n v="3749.93522215041"/>
    <n v="3762.68562537356"/>
    <n v="4674.4634010642103"/>
    <n v="4172.6442063128998"/>
    <n v="3953"/>
    <n v="4412"/>
    <n v="3956"/>
    <n v="4082"/>
    <n v="4025"/>
    <n v="3994"/>
    <n v="4048.2181367176499"/>
    <n v="4038"/>
    <n v="3687"/>
    <n v="4459"/>
    <n v="3718"/>
    <n v="3764"/>
    <n v="3789"/>
    <n v="3809"/>
    <n v="3595.2485248570001"/>
    <n v="3592"/>
    <n v="3647"/>
    <n v="3972"/>
    <n v="3558"/>
    <n v="3742"/>
    <n v="3600"/>
    <n v="3600"/>
    <n v="3680"/>
    <n v="3532"/>
    <n v="3824"/>
    <n v="3350"/>
    <n v="3889"/>
    <n v="3908"/>
    <n v="3934"/>
    <n v="4673.25843164871"/>
  </r>
  <r>
    <s v="M3A"/>
    <d v="2015-02-22T00:00:00"/>
    <x v="34"/>
    <s v="NA"/>
    <n v="3620"/>
    <n v="4604"/>
    <n v="3562"/>
    <n v="4758"/>
    <n v="3802.35624825689"/>
    <n v="3998.3191287965301"/>
    <s v="NA"/>
    <s v="NA"/>
    <s v="NA"/>
    <s v="NA"/>
    <n v="4138"/>
    <n v="4069"/>
    <n v="3643"/>
    <n v="3924"/>
    <n v="3935"/>
    <n v="3761"/>
    <n v="3572"/>
    <n v="4417"/>
    <n v="3559"/>
    <n v="3485"/>
    <n v="3560"/>
    <n v="3577"/>
    <n v="3793.5145007072701"/>
    <n v="3750"/>
    <n v="3432"/>
    <n v="4466"/>
    <n v="3462"/>
    <n v="3360"/>
    <n v="3574"/>
    <n v="3583"/>
    <n v="3534.5075783095599"/>
    <n v="3503"/>
    <n v="3443"/>
    <n v="3821"/>
    <n v="3811"/>
    <n v="3505"/>
    <n v="3585"/>
    <n v="3586"/>
    <n v="3840"/>
    <n v="3650"/>
    <n v="4033"/>
    <n v="3498"/>
    <n v="3768.1250712677202"/>
    <n v="3789.93522215041"/>
    <n v="3802.68562537356"/>
    <n v="4674.4634010642103"/>
    <n v="4172.6442063128998"/>
    <n v="3953"/>
    <n v="4412"/>
    <n v="3956"/>
    <n v="4082"/>
    <n v="4025"/>
    <n v="3994"/>
    <n v="4038.5851690786099"/>
    <n v="4034"/>
    <n v="3687"/>
    <n v="4458"/>
    <n v="3717"/>
    <n v="3764"/>
    <n v="3789"/>
    <n v="3808"/>
    <n v="3600.85338381468"/>
    <n v="3593"/>
    <n v="3647"/>
    <n v="3957"/>
    <n v="3558"/>
    <n v="3742"/>
    <n v="3613"/>
    <n v="3611"/>
    <n v="3688"/>
    <n v="3557"/>
    <n v="3837"/>
    <n v="3379"/>
    <n v="3929"/>
    <n v="3948"/>
    <n v="3974"/>
    <n v="4673.25843164871"/>
  </r>
  <r>
    <s v="M3A"/>
    <d v="2015-02-22T00:00:00"/>
    <x v="35"/>
    <s v="NA"/>
    <n v="3671"/>
    <n v="4563"/>
    <n v="3568"/>
    <n v="4855"/>
    <n v="3887.3866111549301"/>
    <n v="3990.0250655249902"/>
    <s v="NA"/>
    <s v="NA"/>
    <s v="NA"/>
    <s v="NA"/>
    <n v="4134"/>
    <n v="4059"/>
    <n v="3688"/>
    <n v="3978"/>
    <n v="3954"/>
    <n v="3744"/>
    <n v="3572"/>
    <n v="4417"/>
    <n v="3559"/>
    <n v="3485"/>
    <n v="3560"/>
    <n v="3577"/>
    <n v="4079.1304814300402"/>
    <n v="3951"/>
    <n v="3432"/>
    <n v="4465"/>
    <n v="3462"/>
    <n v="3360"/>
    <n v="3574"/>
    <n v="3583"/>
    <n v="3800.7808009775599"/>
    <n v="3779"/>
    <n v="3443"/>
    <n v="4110"/>
    <n v="4099"/>
    <n v="3505"/>
    <n v="3700"/>
    <n v="3763"/>
    <n v="3839"/>
    <n v="3666"/>
    <n v="4037"/>
    <n v="3519"/>
    <n v="3813.1250712677202"/>
    <n v="3834.93522215041"/>
    <n v="3847.68562537356"/>
    <n v="4674.4634010642103"/>
    <n v="4172.6442063128998"/>
    <n v="3953"/>
    <n v="4412"/>
    <n v="3956"/>
    <n v="4082"/>
    <n v="4025"/>
    <n v="3994"/>
    <n v="4277.2900267332998"/>
    <n v="4254"/>
    <n v="3687"/>
    <n v="4458"/>
    <n v="3717"/>
    <n v="3764"/>
    <n v="3789"/>
    <n v="3809"/>
    <n v="3879.2852731733901"/>
    <n v="3922"/>
    <n v="3647"/>
    <n v="4211"/>
    <n v="3828"/>
    <n v="3742"/>
    <n v="3728"/>
    <n v="3738"/>
    <n v="3686"/>
    <n v="3572"/>
    <n v="3841"/>
    <n v="3399"/>
    <n v="3974"/>
    <n v="3993"/>
    <n v="4019"/>
    <n v="4673.25843164871"/>
  </r>
  <r>
    <s v="M4"/>
    <d v="2015-02-22T00:00:00"/>
    <x v="36"/>
    <s v="NA"/>
    <n v="3769"/>
    <n v="4635"/>
    <n v="4400"/>
    <n v="4942"/>
    <n v="4045.0595426539098"/>
    <n v="4055.3272045039298"/>
    <s v="NA"/>
    <s v="NA"/>
    <s v="NA"/>
    <s v="NA"/>
    <n v="4285"/>
    <n v="4205"/>
    <n v="3824"/>
    <n v="4106"/>
    <n v="4124"/>
    <n v="3792"/>
    <n v="3620"/>
    <n v="4337"/>
    <n v="3581"/>
    <n v="3500"/>
    <n v="3570"/>
    <n v="3542"/>
    <n v="4077.67802723662"/>
    <n v="4115"/>
    <n v="3554"/>
    <n v="4410"/>
    <n v="3561"/>
    <n v="3443"/>
    <n v="3592"/>
    <n v="3573"/>
    <n v="3895.9244024917298"/>
    <n v="3938"/>
    <n v="3765"/>
    <n v="4117"/>
    <n v="4017"/>
    <n v="3838"/>
    <n v="3845"/>
    <n v="3868"/>
    <n v="3952"/>
    <n v="3749"/>
    <n v="4132"/>
    <n v="3572"/>
    <n v="3947.4815855933598"/>
    <n v="3971.8234149238201"/>
    <n v="3992.6537572266002"/>
    <n v="4205.6942805888302"/>
    <n v="4212.6898348814002"/>
    <n v="4232"/>
    <n v="4327"/>
    <n v="4176"/>
    <n v="4213"/>
    <n v="3678"/>
    <n v="3637"/>
    <n v="4387.8918828214701"/>
    <n v="4394"/>
    <n v="3843"/>
    <n v="4399"/>
    <n v="3854"/>
    <n v="3833"/>
    <n v="3732"/>
    <n v="3712"/>
    <n v="3988.00435959167"/>
    <n v="4049"/>
    <n v="3816"/>
    <n v="4279"/>
    <n v="3895"/>
    <n v="3897"/>
    <n v="3856"/>
    <n v="3859"/>
    <n v="3792"/>
    <n v="3592"/>
    <n v="3958"/>
    <n v="3475"/>
    <n v="4114"/>
    <n v="4150"/>
    <n v="4171"/>
    <n v="4565.4065754020503"/>
  </r>
  <r>
    <s v="M4"/>
    <d v="2015-02-22T00:00:00"/>
    <x v="37"/>
    <s v="NA"/>
    <n v="3670"/>
    <n v="4597"/>
    <n v="4867"/>
    <n v="4894"/>
    <n v="4131.7809081652904"/>
    <n v="4042.82272704365"/>
    <s v="NA"/>
    <s v="NA"/>
    <s v="NA"/>
    <s v="NA"/>
    <n v="4329"/>
    <n v="4252"/>
    <n v="3795"/>
    <n v="4076"/>
    <n v="4096"/>
    <n v="3737"/>
    <n v="3620"/>
    <n v="4337"/>
    <n v="3581"/>
    <n v="3500"/>
    <n v="3570"/>
    <n v="3542"/>
    <n v="4079.5452750033"/>
    <n v="4024"/>
    <n v="3554"/>
    <n v="4414"/>
    <n v="3561"/>
    <n v="3443"/>
    <n v="3592"/>
    <n v="3575"/>
    <n v="3841.2773977655202"/>
    <n v="3839"/>
    <n v="3765"/>
    <n v="4160"/>
    <n v="4017"/>
    <n v="3838"/>
    <n v="3802"/>
    <n v="3790"/>
    <n v="3926"/>
    <n v="3687"/>
    <n v="4098"/>
    <n v="3500"/>
    <n v="3918.4815855933598"/>
    <n v="3942.8234149238201"/>
    <n v="3963.6537572266002"/>
    <n v="4205.6942805888302"/>
    <n v="4212.6898348814002"/>
    <n v="4232"/>
    <n v="4327"/>
    <n v="4176"/>
    <n v="4213"/>
    <n v="3678"/>
    <n v="3637"/>
    <n v="4372.6275579071598"/>
    <n v="4265"/>
    <n v="3844"/>
    <n v="4402"/>
    <n v="3854"/>
    <n v="3834"/>
    <n v="3730"/>
    <n v="3711"/>
    <n v="3943.29984057396"/>
    <n v="3969"/>
    <n v="3816"/>
    <n v="4323"/>
    <n v="3895"/>
    <n v="3897"/>
    <n v="3806"/>
    <n v="3780"/>
    <n v="3767"/>
    <n v="3533"/>
    <n v="3925"/>
    <n v="3405"/>
    <n v="4085"/>
    <n v="4121"/>
    <n v="4142"/>
    <n v="4565.4065754020503"/>
  </r>
  <r>
    <s v="M4"/>
    <d v="2015-02-22T00:00:00"/>
    <x v="38"/>
    <s v="NA"/>
    <n v="3652"/>
    <n v="4576"/>
    <n v="4118"/>
    <n v="4830"/>
    <n v="3931.41938626295"/>
    <n v="4034.3940437746401"/>
    <s v="NA"/>
    <s v="NA"/>
    <s v="NA"/>
    <s v="NA"/>
    <n v="4215"/>
    <n v="4141"/>
    <n v="3726"/>
    <n v="3976"/>
    <n v="3990"/>
    <n v="3798"/>
    <n v="3620"/>
    <n v="4337"/>
    <n v="3581"/>
    <n v="3500"/>
    <n v="3570"/>
    <n v="3542"/>
    <n v="3894.2635590940099"/>
    <n v="3865"/>
    <n v="3554"/>
    <n v="4404"/>
    <n v="3562"/>
    <n v="3443"/>
    <n v="3592"/>
    <n v="3574"/>
    <n v="3725.6416441569199"/>
    <n v="3716"/>
    <n v="3765"/>
    <n v="4022"/>
    <n v="3936"/>
    <n v="3838"/>
    <n v="3765"/>
    <n v="3738"/>
    <n v="3918"/>
    <n v="3673"/>
    <n v="4089"/>
    <n v="3484"/>
    <n v="3849.4815855933598"/>
    <n v="3873.8234149238201"/>
    <n v="3894.6537572266002"/>
    <n v="4205.6942805888302"/>
    <n v="4212.6898348814002"/>
    <n v="4232"/>
    <n v="4327"/>
    <n v="4176"/>
    <n v="4213"/>
    <n v="3678"/>
    <n v="3637"/>
    <n v="4176.4024538453396"/>
    <n v="4198"/>
    <n v="3846"/>
    <n v="4397"/>
    <n v="3853"/>
    <n v="3832"/>
    <n v="3730"/>
    <n v="3710"/>
    <n v="3818.0329036616199"/>
    <n v="3829"/>
    <n v="3816"/>
    <n v="4226"/>
    <n v="3816"/>
    <n v="3897"/>
    <n v="3773"/>
    <n v="3719"/>
    <n v="3759"/>
    <n v="3520"/>
    <n v="3917"/>
    <n v="3390"/>
    <n v="4016"/>
    <n v="4052"/>
    <n v="4073"/>
    <n v="4565.4065754020503"/>
  </r>
  <r>
    <s v="M4"/>
    <d v="2015-02-22T00:00:00"/>
    <x v="39"/>
    <s v="NA"/>
    <n v="3644"/>
    <n v="4600"/>
    <n v="4376"/>
    <n v="4862"/>
    <n v="3890.7341055182701"/>
    <n v="4043.45057296812"/>
    <s v="NA"/>
    <s v="NA"/>
    <s v="NA"/>
    <s v="NA"/>
    <n v="4248"/>
    <n v="4169"/>
    <n v="3713"/>
    <n v="3983"/>
    <n v="3998"/>
    <n v="3763"/>
    <n v="3620"/>
    <n v="4337"/>
    <n v="3581"/>
    <n v="3500"/>
    <n v="3570"/>
    <n v="3542"/>
    <n v="3793.90025091609"/>
    <n v="3724"/>
    <n v="3554"/>
    <n v="4405"/>
    <n v="3562"/>
    <n v="3444"/>
    <n v="3592"/>
    <n v="3574"/>
    <n v="3553.7661248271502"/>
    <n v="3531"/>
    <n v="3765"/>
    <n v="3902"/>
    <n v="3723"/>
    <n v="3838"/>
    <n v="3691"/>
    <n v="3616"/>
    <n v="3922"/>
    <n v="3674"/>
    <n v="4093"/>
    <n v="3485"/>
    <n v="3836.4815855933598"/>
    <n v="3860.8234149238201"/>
    <n v="3881.6537572266002"/>
    <n v="4205.6942805888302"/>
    <n v="4212.6898348814002"/>
    <n v="4232"/>
    <n v="4327"/>
    <n v="4176"/>
    <n v="4213"/>
    <n v="3678"/>
    <n v="3637"/>
    <n v="4068.7678368786701"/>
    <n v="4045"/>
    <n v="3846"/>
    <n v="4396"/>
    <n v="3853"/>
    <n v="3833"/>
    <n v="3730"/>
    <n v="3710"/>
    <n v="3642.3161599233199"/>
    <n v="3624"/>
    <n v="3816"/>
    <n v="4100"/>
    <n v="3610"/>
    <n v="3897"/>
    <n v="3700"/>
    <n v="3622"/>
    <n v="3763"/>
    <n v="3520"/>
    <n v="3920"/>
    <n v="3390"/>
    <n v="4003"/>
    <n v="4039"/>
    <n v="4060"/>
    <n v="4565.4065754020503"/>
  </r>
  <r>
    <s v="M4A"/>
    <d v="2015-02-22T00:00:00"/>
    <x v="40"/>
    <s v="NA"/>
    <n v="3583"/>
    <n v="4328"/>
    <n v="4578"/>
    <n v="5262"/>
    <n v="3865.4770577567501"/>
    <n v="3981.9472900641999"/>
    <s v="NA"/>
    <s v="NA"/>
    <s v="NA"/>
    <s v="NA"/>
    <n v="4252"/>
    <n v="4188"/>
    <n v="3681"/>
    <n v="3948"/>
    <n v="3956"/>
    <n v="3768"/>
    <n v="4046"/>
    <n v="4316"/>
    <n v="4076"/>
    <n v="3972"/>
    <n v="3788"/>
    <n v="3775"/>
    <n v="3928.8815789765999"/>
    <n v="3924"/>
    <n v="4092"/>
    <n v="4328"/>
    <n v="4128"/>
    <n v="3921"/>
    <n v="3754"/>
    <n v="3859"/>
    <n v="3592.25572296054"/>
    <n v="3557"/>
    <n v="4059"/>
    <n v="4086"/>
    <n v="3932"/>
    <n v="4100"/>
    <n v="3775"/>
    <n v="3659"/>
    <n v="3932"/>
    <n v="3630"/>
    <n v="4100"/>
    <n v="3453"/>
    <n v="3809.2128287986302"/>
    <n v="3842.0070717453"/>
    <n v="3869.2121416871501"/>
    <n v="4309.48203403352"/>
    <n v="4336.05199193929"/>
    <n v="4412"/>
    <n v="4336"/>
    <n v="4259"/>
    <n v="4335"/>
    <n v="3687"/>
    <n v="3665"/>
    <n v="4153.03973939344"/>
    <n v="4144"/>
    <n v="4147"/>
    <n v="4340"/>
    <n v="4115"/>
    <n v="4005"/>
    <n v="3777"/>
    <n v="3793"/>
    <n v="3643.3596510849602"/>
    <n v="3636"/>
    <n v="3968"/>
    <n v="4109"/>
    <n v="3858"/>
    <n v="3972"/>
    <n v="3780"/>
    <n v="3683"/>
    <n v="3788"/>
    <n v="3444"/>
    <n v="3849"/>
    <n v="3293"/>
    <n v="3970"/>
    <n v="4015"/>
    <n v="4044"/>
    <n v="4182.2367530285501"/>
  </r>
  <r>
    <s v="M4A"/>
    <d v="2015-02-22T00:00:00"/>
    <x v="41"/>
    <s v="NA"/>
    <n v="3578"/>
    <n v="4453"/>
    <n v="4514"/>
    <n v="5340"/>
    <n v="3895.99558374564"/>
    <n v="4016.1706023412398"/>
    <s v="NA"/>
    <s v="NA"/>
    <s v="NA"/>
    <s v="NA"/>
    <n v="4287"/>
    <n v="4222"/>
    <n v="3779"/>
    <n v="3942"/>
    <n v="3946"/>
    <n v="3784"/>
    <n v="4046"/>
    <n v="4316"/>
    <n v="4076"/>
    <n v="3972"/>
    <n v="3788"/>
    <n v="3775"/>
    <n v="3928.8815789765999"/>
    <n v="3932"/>
    <n v="4095"/>
    <n v="4329"/>
    <n v="4130"/>
    <n v="3923"/>
    <n v="3754"/>
    <n v="3859"/>
    <n v="3596.6449213682399"/>
    <n v="3559"/>
    <n v="4059"/>
    <n v="4086"/>
    <n v="3932"/>
    <n v="4100"/>
    <n v="3769"/>
    <n v="3669"/>
    <n v="3970"/>
    <n v="3654"/>
    <n v="4134"/>
    <n v="3473"/>
    <n v="3907.2128287986302"/>
    <n v="3940.0070717453"/>
    <n v="3967.2121416871501"/>
    <n v="4309.48203403352"/>
    <n v="4336.05199193929"/>
    <n v="4412"/>
    <n v="4336"/>
    <n v="4259"/>
    <n v="4335"/>
    <n v="3687"/>
    <n v="3665"/>
    <n v="4153.03973939344"/>
    <n v="4152"/>
    <n v="4148"/>
    <n v="4342"/>
    <n v="4115"/>
    <n v="4005"/>
    <n v="3778"/>
    <n v="3793"/>
    <n v="3646.6691772326899"/>
    <n v="3640"/>
    <n v="3968"/>
    <n v="4109"/>
    <n v="3836"/>
    <n v="3972"/>
    <n v="3775"/>
    <n v="3692"/>
    <n v="3824"/>
    <n v="3467"/>
    <n v="3881"/>
    <n v="3312"/>
    <n v="4068"/>
    <n v="4113"/>
    <n v="4142"/>
    <n v="4182.2367530285501"/>
  </r>
  <r>
    <s v="M4A"/>
    <d v="2015-02-22T00:00:00"/>
    <x v="42"/>
    <s v="NA"/>
    <n v="3547"/>
    <n v="4543"/>
    <n v="4572"/>
    <n v="5148.4365599134098"/>
    <n v="3879.81923129182"/>
    <n v="4019.0193213430698"/>
    <s v="NA"/>
    <s v="NA"/>
    <s v="NA"/>
    <s v="NA"/>
    <n v="4282"/>
    <n v="4212"/>
    <n v="3763"/>
    <n v="3936"/>
    <n v="3941"/>
    <n v="3773"/>
    <n v="4046"/>
    <n v="4316"/>
    <n v="4076"/>
    <n v="3972"/>
    <n v="3788"/>
    <n v="3775"/>
    <n v="3914.5704774228898"/>
    <n v="3932"/>
    <n v="4097"/>
    <n v="4329"/>
    <n v="4129"/>
    <n v="3924"/>
    <n v="3754"/>
    <n v="3859"/>
    <n v="3595.7961506329498"/>
    <n v="3560"/>
    <n v="4059"/>
    <n v="4079"/>
    <n v="3932"/>
    <n v="4100"/>
    <n v="3763"/>
    <n v="3666"/>
    <n v="3990"/>
    <n v="3658"/>
    <n v="4149"/>
    <n v="3474"/>
    <n v="3891.2128287986302"/>
    <n v="3924.0070717453"/>
    <n v="3951.2121416871501"/>
    <n v="4309.48203403352"/>
    <n v="4336.05199193929"/>
    <n v="4413"/>
    <n v="4336"/>
    <n v="4259"/>
    <n v="4335"/>
    <n v="3687"/>
    <n v="3665"/>
    <n v="4137.9121331593697"/>
    <n v="4152"/>
    <n v="4147"/>
    <n v="4342"/>
    <n v="4115"/>
    <n v="4005"/>
    <n v="3777"/>
    <n v="3793"/>
    <n v="3646.3313535883799"/>
    <n v="3638"/>
    <n v="3968"/>
    <n v="4102"/>
    <n v="3836"/>
    <n v="3972"/>
    <n v="3769"/>
    <n v="3690"/>
    <n v="3843"/>
    <n v="3471"/>
    <n v="3895"/>
    <n v="3313"/>
    <n v="4052"/>
    <n v="4097"/>
    <n v="4126"/>
    <n v="4182.2367530285501"/>
  </r>
  <r>
    <s v="M4A"/>
    <d v="2015-02-22T00:00:00"/>
    <x v="43"/>
    <s v="NA"/>
    <n v="3578"/>
    <n v="4597"/>
    <n v="4706"/>
    <n v="5021"/>
    <n v="3900.0235409495299"/>
    <n v="4027.0705752879499"/>
    <s v="NA"/>
    <s v="NA"/>
    <s v="NA"/>
    <s v="NA"/>
    <n v="4302"/>
    <n v="4223"/>
    <n v="3772"/>
    <n v="3962"/>
    <n v="3969"/>
    <n v="3743"/>
    <n v="4046"/>
    <n v="4316"/>
    <n v="4076"/>
    <n v="3972"/>
    <n v="3788"/>
    <n v="3775"/>
    <n v="3928.8815789765999"/>
    <n v="3937"/>
    <n v="4097"/>
    <n v="4334"/>
    <n v="4129"/>
    <n v="3925"/>
    <n v="3754"/>
    <n v="3859"/>
    <n v="3596.8397752696401"/>
    <n v="3562"/>
    <n v="4059"/>
    <n v="4086"/>
    <n v="3937"/>
    <n v="4100"/>
    <n v="3771"/>
    <n v="3674"/>
    <n v="4008"/>
    <n v="3683"/>
    <n v="4169"/>
    <n v="3502"/>
    <n v="3900.2128287986302"/>
    <n v="3933.0070717453"/>
    <n v="3960.2121416871501"/>
    <n v="4309.48203403352"/>
    <n v="4336.05199193929"/>
    <n v="4413"/>
    <n v="4336"/>
    <n v="4259"/>
    <n v="4335"/>
    <n v="3687"/>
    <n v="3665"/>
    <n v="4153.03973939344"/>
    <n v="4158"/>
    <n v="4148"/>
    <n v="4343"/>
    <n v="4114"/>
    <n v="4005"/>
    <n v="3777"/>
    <n v="3793"/>
    <n v="3645.9201490814098"/>
    <n v="3638"/>
    <n v="3968"/>
    <n v="4109"/>
    <n v="3841"/>
    <n v="3972"/>
    <n v="3777"/>
    <n v="3698"/>
    <n v="3860"/>
    <n v="3494"/>
    <n v="3914"/>
    <n v="3339"/>
    <n v="4061"/>
    <n v="4106"/>
    <n v="4135"/>
    <n v="4182.2367530285501"/>
  </r>
  <r>
    <s v="M4A"/>
    <d v="2015-02-22T00:00:00"/>
    <x v="44"/>
    <s v="NA"/>
    <n v="3657"/>
    <n v="4961"/>
    <n v="4809"/>
    <n v="5155"/>
    <n v="4083.7036993962402"/>
    <n v="4059.5396980492901"/>
    <s v="NA"/>
    <s v="NA"/>
    <s v="NA"/>
    <s v="NA"/>
    <n v="4419"/>
    <n v="4329"/>
    <n v="3914"/>
    <n v="4097"/>
    <n v="4095"/>
    <n v="3673"/>
    <n v="4126"/>
    <n v="4041"/>
    <n v="4118"/>
    <n v="4015"/>
    <n v="3803"/>
    <n v="3794"/>
    <n v="4046.95543946612"/>
    <n v="4154"/>
    <n v="4174"/>
    <n v="4175"/>
    <n v="4205"/>
    <n v="4052"/>
    <n v="3989"/>
    <n v="4003"/>
    <n v="3943.6824057017702"/>
    <n v="3926"/>
    <n v="4085"/>
    <n v="4142"/>
    <n v="4301"/>
    <n v="4051"/>
    <n v="3959"/>
    <n v="3934"/>
    <n v="4148"/>
    <n v="3948"/>
    <n v="4232"/>
    <n v="3733"/>
    <n v="4044.6271085396302"/>
    <n v="4073.4335032898598"/>
    <n v="4096.37236169485"/>
    <n v="3873.2760326842599"/>
    <n v="4369.8570024683504"/>
    <n v="4454"/>
    <n v="4091"/>
    <n v="4304"/>
    <n v="4390"/>
    <n v="3700"/>
    <n v="3705"/>
    <n v="4261.96106804584"/>
    <n v="4322"/>
    <n v="4203"/>
    <n v="4146"/>
    <n v="4225"/>
    <n v="4036"/>
    <n v="3806"/>
    <n v="3799"/>
    <n v="3946.18761184201"/>
    <n v="3992"/>
    <n v="4010"/>
    <n v="4213"/>
    <n v="4301"/>
    <n v="4042"/>
    <n v="3975"/>
    <n v="3939"/>
    <n v="4058"/>
    <n v="3634"/>
    <n v="4066"/>
    <n v="3484"/>
    <n v="4196"/>
    <n v="4241"/>
    <n v="4280"/>
    <n v="4032.1264251889302"/>
  </r>
  <r>
    <s v="M4A"/>
    <d v="2015-02-22T00:00:00"/>
    <x v="45"/>
    <s v="NA"/>
    <n v="3718"/>
    <n v="4823"/>
    <n v="4839"/>
    <n v="5217"/>
    <n v="4113.3232860818198"/>
    <n v="4019.2035020348198"/>
    <s v="NA"/>
    <s v="NA"/>
    <s v="NA"/>
    <s v="NA"/>
    <n v="4415"/>
    <n v="4324"/>
    <n v="3905"/>
    <n v="4105"/>
    <n v="4102"/>
    <n v="3665"/>
    <n v="4126"/>
    <n v="4041"/>
    <n v="4118"/>
    <n v="4015"/>
    <n v="3803"/>
    <n v="3794"/>
    <n v="4229.9621522247198"/>
    <n v="4410"/>
    <n v="4174"/>
    <n v="4175"/>
    <n v="4206"/>
    <n v="4052"/>
    <n v="3990"/>
    <n v="4004"/>
    <n v="4073.67854549195"/>
    <n v="4117"/>
    <n v="4085"/>
    <n v="4261"/>
    <n v="4335"/>
    <n v="4051"/>
    <n v="4024"/>
    <n v="4061"/>
    <n v="4137"/>
    <n v="3938"/>
    <n v="4226"/>
    <n v="3723"/>
    <n v="4035.6271085396302"/>
    <n v="4064.4335032898598"/>
    <n v="4087.37236169485"/>
    <n v="3873.2760326842599"/>
    <n v="4369.8570024683504"/>
    <n v="4454"/>
    <n v="4091"/>
    <n v="4304"/>
    <n v="4390"/>
    <n v="3700"/>
    <n v="3705"/>
    <n v="4464.4559758251198"/>
    <n v="4564"/>
    <n v="4203"/>
    <n v="4145"/>
    <n v="4226"/>
    <n v="4038"/>
    <n v="3806"/>
    <n v="3800"/>
    <n v="4092.2476290782702"/>
    <n v="4210"/>
    <n v="4010"/>
    <n v="4334"/>
    <n v="4335"/>
    <n v="4042"/>
    <n v="4045"/>
    <n v="4067"/>
    <n v="4047"/>
    <n v="3625"/>
    <n v="4061"/>
    <n v="3475"/>
    <n v="4187"/>
    <n v="4232"/>
    <n v="4271"/>
    <n v="4032.1264251889302"/>
  </r>
  <r>
    <s v="M4A"/>
    <d v="2015-02-22T00:00:00"/>
    <x v="46"/>
    <s v="NA"/>
    <n v="3706"/>
    <n v="4625"/>
    <n v="4843"/>
    <n v="5021"/>
    <n v="4073.68685343691"/>
    <n v="4010.5189608676801"/>
    <s v="NA"/>
    <s v="NA"/>
    <s v="NA"/>
    <s v="NA"/>
    <n v="4372"/>
    <n v="4287"/>
    <n v="3829"/>
    <n v="4038"/>
    <n v="4043"/>
    <n v="3672"/>
    <n v="4126"/>
    <n v="4041"/>
    <n v="4118"/>
    <n v="4015"/>
    <n v="3803"/>
    <n v="3794"/>
    <n v="4229.9621522247198"/>
    <n v="4425"/>
    <n v="4174"/>
    <n v="4175"/>
    <n v="4205"/>
    <n v="4053"/>
    <n v="3990"/>
    <n v="4004"/>
    <n v="4059.5757533486899"/>
    <n v="4093"/>
    <n v="4085"/>
    <n v="4278"/>
    <n v="4305"/>
    <n v="4051"/>
    <n v="4011"/>
    <n v="4031"/>
    <n v="4094"/>
    <n v="3880"/>
    <n v="4186"/>
    <n v="3658"/>
    <n v="3959.6271085396302"/>
    <n v="3988.4335032898598"/>
    <n v="4011.37236169485"/>
    <n v="3873.2760326842599"/>
    <n v="4369.8570024683504"/>
    <n v="4454"/>
    <n v="4091"/>
    <n v="4304"/>
    <n v="4390"/>
    <n v="3700"/>
    <n v="3705"/>
    <n v="4464.4559758251198"/>
    <n v="4579"/>
    <n v="4203"/>
    <n v="4142"/>
    <n v="4225"/>
    <n v="4039"/>
    <n v="3807"/>
    <n v="3802"/>
    <n v="4079.4343356057402"/>
    <n v="4185"/>
    <n v="4010"/>
    <n v="4351"/>
    <n v="4305"/>
    <n v="4042"/>
    <n v="4021"/>
    <n v="4037"/>
    <n v="4005"/>
    <n v="3571"/>
    <n v="4022"/>
    <n v="3414"/>
    <n v="4111"/>
    <n v="4156"/>
    <n v="4195"/>
    <n v="4032.1264251889302"/>
  </r>
  <r>
    <s v="M4A"/>
    <d v="2015-02-22T00:00:00"/>
    <x v="47"/>
    <s v="NA"/>
    <n v="3744"/>
    <n v="4676"/>
    <n v="4789"/>
    <n v="4993"/>
    <n v="4096.00281994129"/>
    <n v="4011.1994055505502"/>
    <s v="NA"/>
    <s v="NA"/>
    <s v="NA"/>
    <s v="NA"/>
    <n v="4376"/>
    <n v="4286"/>
    <n v="3872"/>
    <n v="4057"/>
    <n v="4062"/>
    <n v="3589"/>
    <n v="4126"/>
    <n v="4041"/>
    <n v="4118"/>
    <n v="4015"/>
    <n v="3803"/>
    <n v="3794"/>
    <n v="4229.9621522247198"/>
    <n v="4410"/>
    <n v="4173"/>
    <n v="4175"/>
    <n v="4204"/>
    <n v="4053"/>
    <n v="3990"/>
    <n v="4004"/>
    <n v="4072.8034580461199"/>
    <n v="4118"/>
    <n v="4085"/>
    <n v="4261"/>
    <n v="4305"/>
    <n v="4051"/>
    <n v="4024"/>
    <n v="4061"/>
    <n v="4113"/>
    <n v="3913"/>
    <n v="4207"/>
    <n v="3695"/>
    <n v="4002.6271085396302"/>
    <n v="4031.4335032898598"/>
    <n v="4054.37236169485"/>
    <n v="3873.2760326842599"/>
    <n v="4369.8570024683504"/>
    <n v="4454"/>
    <n v="4091"/>
    <n v="4304"/>
    <n v="4390"/>
    <n v="3700"/>
    <n v="3705"/>
    <n v="4464.4559758251198"/>
    <n v="4564"/>
    <n v="4204"/>
    <n v="4143"/>
    <n v="4225"/>
    <n v="4040"/>
    <n v="3807"/>
    <n v="3804"/>
    <n v="4087.8481094977901"/>
    <n v="4206"/>
    <n v="4010"/>
    <n v="4334"/>
    <n v="4305"/>
    <n v="4042"/>
    <n v="4048"/>
    <n v="4066"/>
    <n v="4023"/>
    <n v="3602"/>
    <n v="4042"/>
    <n v="3449"/>
    <n v="4154"/>
    <n v="4199"/>
    <n v="4238"/>
    <n v="4032.1264251889302"/>
  </r>
  <r>
    <s v="M5"/>
    <d v="2015-02-22T00:00:00"/>
    <x v="48"/>
    <s v="NA"/>
    <n v="3803"/>
    <n v="4465"/>
    <n v="4663"/>
    <n v="5088"/>
    <n v="4066.6927665254998"/>
    <n v="4027.5236246569898"/>
    <s v="NA"/>
    <s v="NA"/>
    <s v="NA"/>
    <s v="NA"/>
    <n v="4341"/>
    <n v="4254"/>
    <n v="3861"/>
    <n v="4058"/>
    <n v="4066"/>
    <n v="3510"/>
    <n v="4060"/>
    <n v="4089"/>
    <n v="4047"/>
    <n v="4007"/>
    <n v="3799"/>
    <n v="3821"/>
    <n v="4322.2091009598298"/>
    <n v="4441"/>
    <n v="4056"/>
    <n v="4139"/>
    <n v="4066"/>
    <n v="4027"/>
    <n v="3986"/>
    <n v="3963"/>
    <n v="4089.3988863905101"/>
    <n v="4135"/>
    <n v="4073"/>
    <n v="4248"/>
    <n v="4215"/>
    <n v="4010"/>
    <n v="4082"/>
    <n v="4097"/>
    <n v="4086"/>
    <n v="4024"/>
    <n v="4154"/>
    <n v="3811"/>
    <n v="3990.67470017303"/>
    <n v="4010.9321919275599"/>
    <n v="4030.0603880291601"/>
    <n v="4650.0985600099402"/>
    <n v="4187.1314027188901"/>
    <n v="4235"/>
    <n v="4108"/>
    <n v="4109"/>
    <n v="4258"/>
    <n v="3691"/>
    <n v="3716"/>
    <n v="4335.62785861264"/>
    <n v="4382"/>
    <n v="4044"/>
    <n v="4120"/>
    <n v="4063"/>
    <n v="3962"/>
    <n v="3784"/>
    <n v="3800"/>
    <n v="4058.99011874387"/>
    <n v="4116"/>
    <n v="3985"/>
    <n v="4326"/>
    <n v="4255"/>
    <n v="4075"/>
    <n v="4103"/>
    <n v="4081"/>
    <n v="4054"/>
    <n v="3624"/>
    <n v="4076"/>
    <n v="3493"/>
    <n v="4098"/>
    <n v="4158"/>
    <n v="4193"/>
    <n v="4513.7435879574796"/>
  </r>
  <r>
    <s v="M5"/>
    <d v="2015-02-22T00:00:00"/>
    <x v="49"/>
    <s v="NA"/>
    <n v="3775"/>
    <n v="4506"/>
    <n v="4666"/>
    <n v="5106"/>
    <n v="4063.0171214695101"/>
    <n v="4026.6096837528999"/>
    <s v="NA"/>
    <s v="NA"/>
    <s v="NA"/>
    <s v="NA"/>
    <n v="4336"/>
    <n v="4247"/>
    <n v="3891"/>
    <n v="4053"/>
    <n v="4065"/>
    <n v="3587"/>
    <n v="4060"/>
    <n v="4089"/>
    <n v="4047"/>
    <n v="4007"/>
    <n v="3799"/>
    <n v="3821"/>
    <n v="4322.2091009598298"/>
    <n v="4441"/>
    <n v="4056"/>
    <n v="4137"/>
    <n v="4065"/>
    <n v="4027"/>
    <n v="3985"/>
    <n v="3962"/>
    <n v="4088.14260695862"/>
    <n v="4133"/>
    <n v="4073"/>
    <n v="4248"/>
    <n v="4215"/>
    <n v="4010"/>
    <n v="4080"/>
    <n v="4098"/>
    <n v="4092"/>
    <n v="4015"/>
    <n v="4156"/>
    <n v="3799"/>
    <n v="4020.67470017303"/>
    <n v="4040.9321919275599"/>
    <n v="4060.0603880291601"/>
    <n v="4650.0985600099402"/>
    <n v="4187.1314027188901"/>
    <n v="4235"/>
    <n v="4108"/>
    <n v="4109"/>
    <n v="4258"/>
    <n v="3691"/>
    <n v="3716"/>
    <n v="4335.62785861264"/>
    <n v="4382"/>
    <n v="4042"/>
    <n v="4116"/>
    <n v="4061"/>
    <n v="3962"/>
    <n v="3784"/>
    <n v="3799"/>
    <n v="4059.7121504359302"/>
    <n v="4116"/>
    <n v="3985"/>
    <n v="4326"/>
    <n v="4255"/>
    <n v="4075"/>
    <n v="4099"/>
    <n v="4082"/>
    <n v="4059"/>
    <n v="3617"/>
    <n v="4078"/>
    <n v="3483"/>
    <n v="4128"/>
    <n v="4188"/>
    <n v="4223"/>
    <n v="4513.7435879574796"/>
  </r>
  <r>
    <s v="M5"/>
    <d v="2015-02-22T00:00:00"/>
    <x v="50"/>
    <s v="NA"/>
    <n v="3745"/>
    <n v="4529"/>
    <n v="4697"/>
    <n v="4856"/>
    <n v="4061.9485204627599"/>
    <n v="4014.6940162703299"/>
    <s v="NA"/>
    <s v="NA"/>
    <s v="NA"/>
    <s v="NA"/>
    <n v="4313"/>
    <n v="4220"/>
    <n v="3893"/>
    <n v="4035"/>
    <n v="4046"/>
    <n v="3576"/>
    <n v="4060"/>
    <n v="4089"/>
    <n v="4047"/>
    <n v="4007"/>
    <n v="3799"/>
    <n v="3821"/>
    <n v="4336.5698596555403"/>
    <n v="4458"/>
    <n v="4055"/>
    <n v="4135"/>
    <n v="4065"/>
    <n v="4027"/>
    <n v="3985"/>
    <n v="3961"/>
    <n v="4085.5223571777201"/>
    <n v="4133"/>
    <n v="4073"/>
    <n v="4248"/>
    <n v="4237"/>
    <n v="4010"/>
    <n v="4080"/>
    <n v="4101"/>
    <n v="4092"/>
    <n v="4002"/>
    <n v="4154"/>
    <n v="3783"/>
    <n v="4022.67470017303"/>
    <n v="4042.9321919275599"/>
    <n v="4062.0603880291601"/>
    <n v="4650.0985600099402"/>
    <n v="4187.1314027188901"/>
    <n v="4235"/>
    <n v="4108"/>
    <n v="4109"/>
    <n v="4258"/>
    <n v="3691"/>
    <n v="3716"/>
    <n v="4342.4159378494296"/>
    <n v="4403"/>
    <n v="4042"/>
    <n v="4114"/>
    <n v="4061"/>
    <n v="3961"/>
    <n v="3784"/>
    <n v="3799"/>
    <n v="4055.6340664231798"/>
    <n v="4116"/>
    <n v="3985"/>
    <n v="4326"/>
    <n v="4277"/>
    <n v="4075"/>
    <n v="4099"/>
    <n v="4084"/>
    <n v="4060"/>
    <n v="3605"/>
    <n v="4076"/>
    <n v="3468"/>
    <n v="4130"/>
    <n v="4190"/>
    <n v="4225"/>
    <n v="4513.7435879574796"/>
  </r>
  <r>
    <s v="M5"/>
    <d v="2015-02-22T00:00:00"/>
    <x v="51"/>
    <s v="NA"/>
    <n v="3744"/>
    <n v="4602"/>
    <n v="4663"/>
    <n v="4781"/>
    <n v="4073.0811353044801"/>
    <n v="4030.6950908754802"/>
    <s v="NA"/>
    <s v="NA"/>
    <s v="NA"/>
    <s v="NA"/>
    <n v="4319"/>
    <n v="4226"/>
    <n v="3890"/>
    <n v="4037"/>
    <n v="4050"/>
    <n v="3612"/>
    <n v="4060"/>
    <n v="4089"/>
    <n v="4047"/>
    <n v="4007"/>
    <n v="3799"/>
    <n v="3821"/>
    <n v="4336.5698596555403"/>
    <n v="4458"/>
    <n v="4053"/>
    <n v="4135"/>
    <n v="4065"/>
    <n v="4026"/>
    <n v="3984"/>
    <n v="3960"/>
    <n v="4086.36245234334"/>
    <n v="4135"/>
    <n v="4073"/>
    <n v="4248"/>
    <n v="4237"/>
    <n v="4010"/>
    <n v="4081"/>
    <n v="4104"/>
    <n v="4111"/>
    <n v="4018"/>
    <n v="4170"/>
    <n v="3799"/>
    <n v="4019.67470017303"/>
    <n v="4039.9321919275599"/>
    <n v="4059.0603880291601"/>
    <n v="4650.0985600099402"/>
    <n v="4187.1314027188901"/>
    <n v="4235"/>
    <n v="4108"/>
    <n v="4109"/>
    <n v="4258"/>
    <n v="3691"/>
    <n v="3716"/>
    <n v="4342.4159378494296"/>
    <n v="4403"/>
    <n v="4041"/>
    <n v="4113"/>
    <n v="4060"/>
    <n v="3961"/>
    <n v="3784"/>
    <n v="3799"/>
    <n v="4055.9103195238399"/>
    <n v="4118"/>
    <n v="3985"/>
    <n v="4326"/>
    <n v="4277"/>
    <n v="4075"/>
    <n v="4100"/>
    <n v="4086"/>
    <n v="4078"/>
    <n v="3619"/>
    <n v="4092"/>
    <n v="3483"/>
    <n v="4127"/>
    <n v="4187"/>
    <n v="4222"/>
    <n v="4513.7435879574796"/>
  </r>
  <r>
    <s v="M5"/>
    <d v="2015-02-22T00:00:00"/>
    <x v="52"/>
    <s v="NA"/>
    <n v="3609"/>
    <n v="4551"/>
    <n v="4735"/>
    <n v="5171"/>
    <n v="3947.8001943074401"/>
    <n v="4126.6997690037897"/>
    <s v="NA"/>
    <s v="NA"/>
    <s v="NA"/>
    <s v="NA"/>
    <n v="4305"/>
    <n v="4226"/>
    <n v="3848"/>
    <n v="3862"/>
    <n v="3855"/>
    <n v="3588"/>
    <n v="4064"/>
    <n v="3913"/>
    <n v="4032"/>
    <n v="4015"/>
    <n v="3813"/>
    <n v="3795"/>
    <n v="4096.4399634506599"/>
    <n v="4127"/>
    <n v="4032"/>
    <n v="3980"/>
    <n v="4096"/>
    <n v="3986"/>
    <n v="3972"/>
    <n v="3965"/>
    <n v="3820.7997117637201"/>
    <n v="3822"/>
    <n v="4069"/>
    <n v="4008"/>
    <n v="3748"/>
    <n v="4019"/>
    <n v="3981"/>
    <n v="3852"/>
    <n v="4076"/>
    <n v="4031"/>
    <n v="4106"/>
    <n v="3762"/>
    <n v="3978.3619145061598"/>
    <n v="3989.58134110119"/>
    <n v="4002.7493196647201"/>
    <n v="4670.6917204775"/>
    <n v="4187.1314027188901"/>
    <n v="4422"/>
    <n v="3909"/>
    <n v="4208"/>
    <n v="4224"/>
    <n v="3706"/>
    <n v="3720"/>
    <n v="4060.7513076228702"/>
    <n v="3937"/>
    <n v="4163"/>
    <n v="4005"/>
    <n v="4165"/>
    <n v="4003"/>
    <n v="3794"/>
    <n v="3814"/>
    <n v="3789.2495782190099"/>
    <n v="3786"/>
    <n v="3986"/>
    <n v="3794"/>
    <n v="3671"/>
    <n v="4020"/>
    <n v="3942"/>
    <n v="3810"/>
    <n v="4074"/>
    <n v="3555"/>
    <n v="4033"/>
    <n v="3316"/>
    <n v="4090"/>
    <n v="4107"/>
    <n v="4152"/>
    <n v="4392.3443110701601"/>
  </r>
  <r>
    <s v="M5"/>
    <d v="2015-02-22T00:00:00"/>
    <x v="53"/>
    <s v="NA"/>
    <n v="3605"/>
    <n v="4569"/>
    <n v="4791"/>
    <n v="5180"/>
    <n v="3970.6781101136698"/>
    <n v="4116.8277319817198"/>
    <s v="NA"/>
    <s v="NA"/>
    <s v="NA"/>
    <s v="NA"/>
    <n v="4287"/>
    <n v="4200"/>
    <n v="3821"/>
    <n v="3850"/>
    <n v="3842"/>
    <n v="3621"/>
    <n v="4064"/>
    <n v="3913"/>
    <n v="4032"/>
    <n v="4015"/>
    <n v="3813"/>
    <n v="3795"/>
    <n v="4096.4399634506599"/>
    <n v="4127"/>
    <n v="4030"/>
    <n v="3980"/>
    <n v="4094"/>
    <n v="3984"/>
    <n v="3971"/>
    <n v="3964"/>
    <n v="3819.7806584054902"/>
    <n v="3819"/>
    <n v="4069"/>
    <n v="4008"/>
    <n v="3748"/>
    <n v="4019"/>
    <n v="3977"/>
    <n v="3855"/>
    <n v="4080"/>
    <n v="4032"/>
    <n v="4109"/>
    <n v="3763"/>
    <n v="3951.3619145061598"/>
    <n v="3962.58134110119"/>
    <n v="3975.7493196647201"/>
    <n v="4670.6917204775"/>
    <n v="4187.1314027188901"/>
    <n v="4422"/>
    <n v="3909"/>
    <n v="4208"/>
    <n v="4224"/>
    <n v="3706"/>
    <n v="3720"/>
    <n v="4060.7513076228702"/>
    <n v="3937"/>
    <n v="4163"/>
    <n v="4005"/>
    <n v="4164"/>
    <n v="4003"/>
    <n v="3794"/>
    <n v="3813"/>
    <n v="3788.8781632702598"/>
    <n v="3783"/>
    <n v="3986"/>
    <n v="3794"/>
    <n v="3671"/>
    <n v="4020"/>
    <n v="3940"/>
    <n v="3812"/>
    <n v="4078"/>
    <n v="3557"/>
    <n v="4036"/>
    <n v="3317"/>
    <n v="4063"/>
    <n v="4080"/>
    <n v="4125"/>
    <n v="4392.3443110701601"/>
  </r>
  <r>
    <s v="M5"/>
    <d v="2015-02-22T00:00:00"/>
    <x v="54"/>
    <s v="NA"/>
    <n v="3631"/>
    <n v="4620"/>
    <n v="4809"/>
    <n v="5189"/>
    <n v="3954.3491884901"/>
    <n v="4134.32832500731"/>
    <s v="NA"/>
    <s v="NA"/>
    <s v="NA"/>
    <s v="NA"/>
    <n v="4318"/>
    <n v="4229"/>
    <n v="3841"/>
    <n v="3953"/>
    <n v="3893"/>
    <n v="3565"/>
    <n v="4064"/>
    <n v="3912"/>
    <n v="4032"/>
    <n v="4015"/>
    <n v="3813"/>
    <n v="3795"/>
    <n v="4096.4399634506599"/>
    <n v="4127"/>
    <n v="4030"/>
    <n v="3980"/>
    <n v="4094"/>
    <n v="3985"/>
    <n v="3971"/>
    <n v="3965"/>
    <n v="3823.8119101879402"/>
    <n v="3826"/>
    <n v="4069"/>
    <n v="3994"/>
    <n v="3764"/>
    <n v="4019"/>
    <n v="3991"/>
    <n v="3862"/>
    <n v="4097"/>
    <n v="4057"/>
    <n v="4127"/>
    <n v="3791"/>
    <n v="3971.3619145061598"/>
    <n v="3982.58134110119"/>
    <n v="3995.7493196647201"/>
    <n v="4670.6917204775"/>
    <n v="4187.1314027188901"/>
    <n v="4422"/>
    <n v="3909"/>
    <n v="4208"/>
    <n v="4224"/>
    <n v="3706"/>
    <n v="3720"/>
    <n v="4060.7513076228702"/>
    <n v="3937"/>
    <n v="4164"/>
    <n v="4005"/>
    <n v="4167"/>
    <n v="4003"/>
    <n v="3795"/>
    <n v="3814"/>
    <n v="3792.5597100843001"/>
    <n v="3788"/>
    <n v="3986"/>
    <n v="3780"/>
    <n v="3687"/>
    <n v="4020"/>
    <n v="3954"/>
    <n v="3823"/>
    <n v="4094"/>
    <n v="3579"/>
    <n v="4053"/>
    <n v="3341"/>
    <n v="4083"/>
    <n v="4100"/>
    <n v="4145"/>
    <n v="4392.3443110701601"/>
  </r>
  <r>
    <s v="M5"/>
    <d v="2015-02-22T00:00:00"/>
    <x v="55"/>
    <s v="NA"/>
    <n v="3676"/>
    <n v="4641"/>
    <n v="4847"/>
    <n v="5092"/>
    <n v="4046.8136911503798"/>
    <n v="4139.5885000374301"/>
    <s v="NA"/>
    <s v="NA"/>
    <s v="NA"/>
    <s v="NA"/>
    <n v="4342"/>
    <n v="4250"/>
    <n v="3827"/>
    <n v="3932"/>
    <n v="3939"/>
    <n v="3603"/>
    <n v="4064"/>
    <n v="3912"/>
    <n v="4032"/>
    <n v="4015"/>
    <n v="3813"/>
    <n v="3795"/>
    <n v="4391.9981448402496"/>
    <n v="4550"/>
    <n v="4030"/>
    <n v="3980"/>
    <n v="4094"/>
    <n v="3985"/>
    <n v="3972"/>
    <n v="3966"/>
    <n v="4100.8197815270796"/>
    <n v="4144"/>
    <n v="4069"/>
    <n v="4250"/>
    <n v="4061"/>
    <n v="4019"/>
    <n v="4086"/>
    <n v="4064"/>
    <n v="4109"/>
    <n v="4087"/>
    <n v="4142"/>
    <n v="3825"/>
    <n v="3957.3619145061598"/>
    <n v="3968.58134110119"/>
    <n v="3981.7493196647201"/>
    <n v="4670.6917204775"/>
    <n v="4187.1314027188901"/>
    <n v="4422"/>
    <n v="3909"/>
    <n v="4208"/>
    <n v="4224"/>
    <n v="3706"/>
    <n v="3720"/>
    <n v="4359.9059190064499"/>
    <n v="4294"/>
    <n v="4165"/>
    <n v="4005"/>
    <n v="4168"/>
    <n v="4003"/>
    <n v="3796"/>
    <n v="3815"/>
    <n v="4058.2388461763098"/>
    <n v="4102"/>
    <n v="3986"/>
    <n v="4022"/>
    <n v="3978"/>
    <n v="4020"/>
    <n v="4062"/>
    <n v="4021"/>
    <n v="4107"/>
    <n v="3605"/>
    <n v="4069"/>
    <n v="3371"/>
    <n v="4069"/>
    <n v="4086"/>
    <n v="4131"/>
    <n v="4392.3443110701601"/>
  </r>
  <r>
    <s v="M6"/>
    <d v="2015-02-22T00:00:00"/>
    <x v="56"/>
    <s v="NA"/>
    <n v="3628"/>
    <n v="4749"/>
    <n v="4918"/>
    <n v="5061"/>
    <n v="3994.8941449541298"/>
    <n v="4103.0087893883601"/>
    <s v="NA"/>
    <s v="NA"/>
    <s v="NA"/>
    <s v="NA"/>
    <n v="4384"/>
    <n v="4298"/>
    <n v="3763"/>
    <n v="3948"/>
    <n v="3953"/>
    <n v="3668"/>
    <n v="4027"/>
    <n v="3967"/>
    <n v="4014"/>
    <n v="3988"/>
    <n v="3825"/>
    <n v="3789"/>
    <n v="4036.89897190172"/>
    <n v="4139"/>
    <n v="3965"/>
    <n v="4092"/>
    <n v="4001"/>
    <n v="4004"/>
    <n v="3957"/>
    <n v="3964"/>
    <n v="3874.00187089257"/>
    <n v="3889"/>
    <n v="4045"/>
    <n v="3787"/>
    <n v="3872"/>
    <n v="3966"/>
    <n v="4023"/>
    <n v="3905"/>
    <n v="4130"/>
    <n v="4158"/>
    <n v="4146"/>
    <n v="3899"/>
    <n v="3889.5408434513802"/>
    <n v="3901.0902644412199"/>
    <n v="3911.4727835436502"/>
    <n v="4963.3194497304603"/>
    <n v="4102.4438848542404"/>
    <n v="4341"/>
    <n v="3965"/>
    <n v="4205"/>
    <n v="4353"/>
    <n v="3704"/>
    <n v="3693"/>
    <n v="3993.6730898607202"/>
    <n v="4011"/>
    <n v="4178"/>
    <n v="4062"/>
    <n v="4172"/>
    <n v="4052"/>
    <n v="3827"/>
    <n v="3843"/>
    <n v="3869.8516046075001"/>
    <n v="3862"/>
    <n v="3960"/>
    <n v="3797"/>
    <n v="3732"/>
    <n v="4011"/>
    <n v="3975"/>
    <n v="3872"/>
    <n v="4137"/>
    <n v="3615"/>
    <n v="4088"/>
    <n v="3367"/>
    <n v="3997"/>
    <n v="4018"/>
    <n v="4036"/>
    <n v="4109.9613941922098"/>
  </r>
  <r>
    <s v="M6"/>
    <d v="2015-02-22T00:00:00"/>
    <x v="57"/>
    <s v="NA"/>
    <n v="3662"/>
    <n v="4807"/>
    <n v="4737"/>
    <n v="5133"/>
    <n v="4043.5725977668799"/>
    <n v="4146.6480231591404"/>
    <s v="NA"/>
    <s v="NA"/>
    <s v="NA"/>
    <s v="NA"/>
    <n v="4385"/>
    <n v="4294"/>
    <n v="3762"/>
    <n v="4000"/>
    <n v="4003"/>
    <n v="3661"/>
    <n v="4027"/>
    <n v="3967"/>
    <n v="4014"/>
    <n v="3988"/>
    <n v="3825"/>
    <n v="3789"/>
    <n v="4330.1432190946498"/>
    <n v="4420"/>
    <n v="3967"/>
    <n v="4092"/>
    <n v="4003"/>
    <n v="4005"/>
    <n v="3958"/>
    <n v="3965"/>
    <n v="4067.8383520388702"/>
    <n v="4136"/>
    <n v="4045"/>
    <n v="4037"/>
    <n v="4178"/>
    <n v="3966"/>
    <n v="4094"/>
    <n v="4071"/>
    <n v="4147"/>
    <n v="4194"/>
    <n v="4165"/>
    <n v="3940"/>
    <n v="3888.5408434513802"/>
    <n v="3900.0902644412199"/>
    <n v="3910.4727835436502"/>
    <n v="4963.3194497304603"/>
    <n v="4102.4438848542404"/>
    <n v="4341"/>
    <n v="3965"/>
    <n v="4205"/>
    <n v="4353"/>
    <n v="3704"/>
    <n v="3693"/>
    <n v="4293.1681561653004"/>
    <n v="4287"/>
    <n v="4178"/>
    <n v="4062"/>
    <n v="4173"/>
    <n v="4052"/>
    <n v="3828"/>
    <n v="3844"/>
    <n v="4055.5702188523901"/>
    <n v="4151"/>
    <n v="3960"/>
    <n v="4048"/>
    <n v="4026"/>
    <n v="4011"/>
    <n v="4055"/>
    <n v="4048"/>
    <n v="4154"/>
    <n v="3645"/>
    <n v="4106"/>
    <n v="3402"/>
    <n v="3996"/>
    <n v="4017"/>
    <n v="4035"/>
    <n v="4109.9613941922098"/>
  </r>
  <r>
    <s v="M6"/>
    <d v="2015-02-22T00:00:00"/>
    <x v="58"/>
    <s v="NA"/>
    <n v="3666"/>
    <n v="4812"/>
    <n v="4647"/>
    <n v="5117"/>
    <n v="4038.0354697396401"/>
    <n v="4145.9766917789502"/>
    <s v="NA"/>
    <s v="NA"/>
    <s v="NA"/>
    <s v="NA"/>
    <n v="4379"/>
    <n v="4288"/>
    <n v="3762"/>
    <n v="3987"/>
    <n v="3990"/>
    <n v="3630"/>
    <n v="4027"/>
    <n v="3967"/>
    <n v="4014"/>
    <n v="3988"/>
    <n v="3825"/>
    <n v="3789"/>
    <n v="4330.1432190946498"/>
    <n v="4420"/>
    <n v="3971"/>
    <n v="4091"/>
    <n v="4004"/>
    <n v="4006"/>
    <n v="3958"/>
    <n v="3965"/>
    <n v="4097.6307274721503"/>
    <n v="4159"/>
    <n v="4045"/>
    <n v="4037"/>
    <n v="4178"/>
    <n v="3966"/>
    <n v="4095"/>
    <n v="4085"/>
    <n v="4149"/>
    <n v="4197"/>
    <n v="4167"/>
    <n v="3944"/>
    <n v="3888.5408434513802"/>
    <n v="3900.0902644412199"/>
    <n v="3910.4727835436502"/>
    <n v="4963.3194497304603"/>
    <n v="4102.4438848542404"/>
    <n v="4341"/>
    <n v="3965"/>
    <n v="4205"/>
    <n v="4353"/>
    <n v="3704"/>
    <n v="3693"/>
    <n v="4293.1681561653004"/>
    <n v="4287"/>
    <n v="4179"/>
    <n v="4063"/>
    <n v="4173"/>
    <n v="4052"/>
    <n v="3829"/>
    <n v="3844"/>
    <n v="4088.3649442951801"/>
    <n v="4178"/>
    <n v="3960"/>
    <n v="4048"/>
    <n v="4026"/>
    <n v="4011"/>
    <n v="4058"/>
    <n v="4065"/>
    <n v="4155"/>
    <n v="3648"/>
    <n v="4108"/>
    <n v="3406"/>
    <n v="3996"/>
    <n v="4017"/>
    <n v="4035"/>
    <n v="4109.9613941922098"/>
  </r>
  <r>
    <s v="M6"/>
    <d v="2015-02-22T00:00:00"/>
    <x v="59"/>
    <s v="NA"/>
    <n v="3664"/>
    <n v="4769"/>
    <n v="4709"/>
    <n v="5117"/>
    <n v="4037.8138873971402"/>
    <n v="4153.3367698018501"/>
    <s v="NA"/>
    <s v="NA"/>
    <s v="NA"/>
    <s v="NA"/>
    <n v="4366"/>
    <n v="4271"/>
    <n v="3783"/>
    <n v="3967"/>
    <n v="3980"/>
    <n v="3621"/>
    <n v="4027"/>
    <n v="3967"/>
    <n v="4014"/>
    <n v="3988"/>
    <n v="3825"/>
    <n v="3789"/>
    <n v="4330.1432190946498"/>
    <n v="4420"/>
    <n v="3972"/>
    <n v="4091"/>
    <n v="4004"/>
    <n v="4006"/>
    <n v="3958"/>
    <n v="3966"/>
    <n v="4073.7315896240002"/>
    <n v="4139"/>
    <n v="4045"/>
    <n v="4037"/>
    <n v="4178"/>
    <n v="3966"/>
    <n v="4101"/>
    <n v="4075"/>
    <n v="4140"/>
    <n v="4182"/>
    <n v="4159"/>
    <n v="3927"/>
    <n v="3909.5408434513802"/>
    <n v="3921.0902644412199"/>
    <n v="3931.4727835436502"/>
    <n v="4963.3194497304603"/>
    <n v="4102.4438848542404"/>
    <n v="4341"/>
    <n v="3965"/>
    <n v="4205"/>
    <n v="4353"/>
    <n v="3704"/>
    <n v="3693"/>
    <n v="4293.1681561653004"/>
    <n v="4287"/>
    <n v="4178"/>
    <n v="4063"/>
    <n v="4173"/>
    <n v="4051"/>
    <n v="3829"/>
    <n v="3844"/>
    <n v="4058.5598954360298"/>
    <n v="4154"/>
    <n v="3960"/>
    <n v="4048"/>
    <n v="4026"/>
    <n v="4011"/>
    <n v="4062"/>
    <n v="4053"/>
    <n v="4147"/>
    <n v="3636"/>
    <n v="4100"/>
    <n v="3392"/>
    <n v="4017"/>
    <n v="4038"/>
    <n v="4056"/>
    <n v="4109.9613941922098"/>
  </r>
  <r>
    <s v="M6"/>
    <d v="2015-02-22T00:00:00"/>
    <x v="60"/>
    <s v="NA"/>
    <n v="3682"/>
    <n v="4922"/>
    <n v="4667"/>
    <n v="5171"/>
    <n v="3985.4080998484101"/>
    <n v="4178.6657572181002"/>
    <s v="NA"/>
    <s v="NA"/>
    <s v="NA"/>
    <s v="NA"/>
    <n v="4399"/>
    <n v="4304"/>
    <n v="3791"/>
    <n v="4025"/>
    <n v="4058"/>
    <n v="3548"/>
    <n v="3959"/>
    <n v="3894"/>
    <n v="3926"/>
    <n v="3907"/>
    <n v="3796"/>
    <n v="3810"/>
    <n v="4167.7240850687904"/>
    <n v="4379"/>
    <n v="3923"/>
    <n v="3927"/>
    <n v="3958"/>
    <n v="3871"/>
    <n v="3884"/>
    <n v="3911"/>
    <n v="4063.5509171108001"/>
    <n v="4105"/>
    <n v="3996"/>
    <n v="3946"/>
    <n v="4062"/>
    <n v="4011"/>
    <n v="4107"/>
    <n v="4092"/>
    <n v="4173"/>
    <n v="4305"/>
    <n v="4149"/>
    <n v="3946"/>
    <n v="3935.4044827965299"/>
    <n v="3933.56143177903"/>
    <n v="3940.9606603914899"/>
    <n v="4965.16400037113"/>
    <n v="3989.6033023688801"/>
    <n v="4184"/>
    <n v="3913"/>
    <n v="4089"/>
    <n v="4150"/>
    <n v="3698"/>
    <n v="3691"/>
    <n v="4127.4676266297502"/>
    <n v="4230"/>
    <n v="4109"/>
    <n v="3936"/>
    <n v="4116"/>
    <n v="4046"/>
    <n v="3841"/>
    <n v="3812"/>
    <n v="4125.9144466162797"/>
    <n v="4216"/>
    <n v="4014"/>
    <n v="4204"/>
    <n v="4062"/>
    <n v="4061"/>
    <n v="4103"/>
    <n v="4091"/>
    <n v="4181"/>
    <n v="3678"/>
    <n v="4128"/>
    <n v="3437"/>
    <n v="4045"/>
    <n v="4043"/>
    <n v="4069"/>
    <n v="3928.9915356359302"/>
  </r>
  <r>
    <s v="M6"/>
    <d v="2015-02-22T00:00:00"/>
    <x v="61"/>
    <s v="NA"/>
    <n v="3742"/>
    <n v="5001"/>
    <n v="4834"/>
    <n v="5305"/>
    <n v="4078.04967289361"/>
    <n v="4190.1786766823498"/>
    <s v="NA"/>
    <s v="NA"/>
    <s v="NA"/>
    <s v="NA"/>
    <n v="4483"/>
    <n v="4388"/>
    <n v="3848"/>
    <n v="4092"/>
    <n v="4148"/>
    <n v="3590"/>
    <n v="3959"/>
    <n v="3894"/>
    <n v="3926"/>
    <n v="3907"/>
    <n v="3796"/>
    <n v="3810"/>
    <n v="4166.1950507789497"/>
    <n v="4365"/>
    <n v="3923"/>
    <n v="3927"/>
    <n v="3958"/>
    <n v="3871"/>
    <n v="3885"/>
    <n v="3912"/>
    <n v="4058.96176106347"/>
    <n v="4098"/>
    <n v="3996"/>
    <n v="3912"/>
    <n v="4111"/>
    <n v="4011"/>
    <n v="4118"/>
    <n v="4110"/>
    <n v="4196"/>
    <n v="4370"/>
    <n v="4176"/>
    <n v="4020"/>
    <n v="3992.4044827965299"/>
    <n v="3990.56143177903"/>
    <n v="3997.9606603914899"/>
    <n v="4965.16400037113"/>
    <n v="3989.6033023688801"/>
    <n v="4184"/>
    <n v="3913"/>
    <n v="4089"/>
    <n v="4150"/>
    <n v="3698"/>
    <n v="3691"/>
    <n v="4125.9533614330803"/>
    <n v="4216"/>
    <n v="4111"/>
    <n v="3936"/>
    <n v="4118"/>
    <n v="4047"/>
    <n v="3843"/>
    <n v="3813"/>
    <n v="4118.7761204276003"/>
    <n v="4227"/>
    <n v="4014"/>
    <n v="4168"/>
    <n v="4111"/>
    <n v="4061"/>
    <n v="4121"/>
    <n v="4109"/>
    <n v="4204"/>
    <n v="3734"/>
    <n v="4155"/>
    <n v="3501"/>
    <n v="4102"/>
    <n v="4100"/>
    <n v="4126"/>
    <n v="3928.9915356359302"/>
  </r>
  <r>
    <s v="M6"/>
    <d v="2015-02-22T00:00:00"/>
    <x v="62"/>
    <s v="NA"/>
    <n v="3786"/>
    <n v="4963"/>
    <n v="4925"/>
    <n v="5113.8491966686397"/>
    <n v="4139.2860412985701"/>
    <n v="4167.6512599435"/>
    <s v="NA"/>
    <s v="NA"/>
    <s v="NA"/>
    <s v="NA"/>
    <n v="4488"/>
    <n v="4389"/>
    <n v="3869"/>
    <n v="4146"/>
    <n v="4146"/>
    <n v="3676"/>
    <n v="3959"/>
    <n v="3894"/>
    <n v="3926"/>
    <n v="3907"/>
    <n v="3796"/>
    <n v="3810"/>
    <n v="4152.3984964192196"/>
    <n v="4348"/>
    <n v="3922"/>
    <n v="3926"/>
    <n v="3958"/>
    <n v="3868"/>
    <n v="3883"/>
    <n v="3909"/>
    <n v="4062.4386513859299"/>
    <n v="4096"/>
    <n v="3996"/>
    <n v="3912"/>
    <n v="4052"/>
    <n v="4011"/>
    <n v="4123"/>
    <n v="4107"/>
    <n v="4199"/>
    <n v="4384"/>
    <n v="4182"/>
    <n v="4036"/>
    <n v="4013.4044827965299"/>
    <n v="4011.56143177903"/>
    <n v="4018.9606603914899"/>
    <n v="4965.16400037113"/>
    <n v="3989.6033023688801"/>
    <n v="4184"/>
    <n v="3913"/>
    <n v="4089"/>
    <n v="4150"/>
    <n v="3698"/>
    <n v="3691"/>
    <n v="4119.5036572256704"/>
    <n v="4200"/>
    <n v="4113"/>
    <n v="3934"/>
    <n v="4118"/>
    <n v="4047"/>
    <n v="3841"/>
    <n v="3811"/>
    <n v="4119.2451887390498"/>
    <n v="4227"/>
    <n v="4014"/>
    <n v="4168"/>
    <n v="4052"/>
    <n v="4061"/>
    <n v="4125"/>
    <n v="4106"/>
    <n v="4207"/>
    <n v="3746"/>
    <n v="4161"/>
    <n v="3515"/>
    <n v="4123"/>
    <n v="4121"/>
    <n v="4147"/>
    <n v="3928.9915356359302"/>
  </r>
  <r>
    <s v="M6"/>
    <d v="2015-02-22T00:00:00"/>
    <x v="63"/>
    <s v="NA"/>
    <n v="3682"/>
    <n v="4929"/>
    <n v="4959"/>
    <n v="5152"/>
    <n v="4104.6184527238502"/>
    <n v="4159.4899911474304"/>
    <s v="NA"/>
    <s v="NA"/>
    <s v="NA"/>
    <s v="NA"/>
    <n v="4480"/>
    <n v="4388"/>
    <n v="3772"/>
    <n v="4051"/>
    <n v="4085"/>
    <n v="3744"/>
    <n v="3959"/>
    <n v="3894"/>
    <n v="3926"/>
    <n v="3907"/>
    <n v="3796"/>
    <n v="3810"/>
    <n v="4167.7240850687904"/>
    <n v="4379"/>
    <n v="3924"/>
    <n v="3927"/>
    <n v="3961"/>
    <n v="3868"/>
    <n v="3884"/>
    <n v="3908"/>
    <n v="4065.0668053209001"/>
    <n v="4105"/>
    <n v="3996"/>
    <n v="3946"/>
    <n v="4085"/>
    <n v="4011"/>
    <n v="4109"/>
    <n v="4093"/>
    <n v="4174"/>
    <n v="4306"/>
    <n v="4150"/>
    <n v="3948"/>
    <n v="3916.4044827965299"/>
    <n v="3914.56143177903"/>
    <n v="3921.9606603914899"/>
    <n v="4965.16400037113"/>
    <n v="3989.6033023688801"/>
    <n v="4184"/>
    <n v="3913"/>
    <n v="4089"/>
    <n v="4150"/>
    <n v="3698"/>
    <n v="3691"/>
    <n v="4127.4676266297502"/>
    <n v="4230"/>
    <n v="4114"/>
    <n v="3934"/>
    <n v="4119"/>
    <n v="4047"/>
    <n v="3841"/>
    <n v="3811"/>
    <n v="4125.1335834413303"/>
    <n v="4221"/>
    <n v="4014"/>
    <n v="4204"/>
    <n v="4085"/>
    <n v="4061"/>
    <n v="4106"/>
    <n v="4092"/>
    <n v="4182"/>
    <n v="3679"/>
    <n v="4129"/>
    <n v="3438"/>
    <n v="4026"/>
    <n v="4024"/>
    <n v="4050"/>
    <n v="3928.9915356359302"/>
  </r>
  <r>
    <s v="M6"/>
    <d v="2015-02-22T00:00:00"/>
    <x v="64"/>
    <s v="NA"/>
    <n v="3686"/>
    <n v="4629"/>
    <n v="4993"/>
    <n v="5259"/>
    <n v="4060.1026369557499"/>
    <n v="4223.2059024257196"/>
    <s v="NA"/>
    <s v="NA"/>
    <s v="NA"/>
    <s v="NA"/>
    <n v="4466"/>
    <n v="4386"/>
    <n v="3697"/>
    <n v="4177"/>
    <n v="4145"/>
    <n v="3818"/>
    <n v="4052"/>
    <n v="3920"/>
    <n v="4003"/>
    <n v="3911"/>
    <n v="3805"/>
    <n v="3825"/>
    <n v="4170.3650498175903"/>
    <n v="4354"/>
    <n v="3976"/>
    <n v="3852"/>
    <n v="3990"/>
    <n v="3863"/>
    <n v="3871"/>
    <n v="3863"/>
    <n v="4069.5438718958299"/>
    <n v="4090"/>
    <n v="4030"/>
    <n v="3992"/>
    <n v="4066"/>
    <n v="4015"/>
    <n v="4118"/>
    <n v="4097"/>
    <n v="4140"/>
    <n v="4122"/>
    <n v="4058"/>
    <n v="3725"/>
    <n v="3839.4461622316699"/>
    <n v="3823.5152827707998"/>
    <n v="3819.2353200431498"/>
    <n v="4949.7775142623896"/>
    <n v="4056.96540849232"/>
    <n v="4169"/>
    <n v="3883"/>
    <n v="4110"/>
    <n v="4197"/>
    <n v="3683"/>
    <n v="3690"/>
    <n v="4235.8253425950898"/>
    <n v="4413"/>
    <n v="4255"/>
    <n v="3866"/>
    <n v="4218"/>
    <n v="4052"/>
    <n v="3844"/>
    <n v="3870"/>
    <n v="4146.2183653106704"/>
    <n v="4236"/>
    <n v="4007"/>
    <n v="4214"/>
    <n v="4065"/>
    <n v="4034"/>
    <n v="4126"/>
    <n v="4075"/>
    <n v="4107"/>
    <n v="3570"/>
    <n v="4124"/>
    <n v="3445"/>
    <n v="3965"/>
    <n v="3958"/>
    <n v="3973"/>
    <n v="4272.2756753263702"/>
  </r>
  <r>
    <s v="M6"/>
    <d v="2015-02-22T00:00:00"/>
    <x v="65"/>
    <s v="NA"/>
    <n v="3851"/>
    <n v="4533"/>
    <n v="4878"/>
    <n v="5187"/>
    <n v="4070.7287227655702"/>
    <n v="4175.2223226603901"/>
    <s v="NA"/>
    <s v="NA"/>
    <s v="NA"/>
    <s v="NA"/>
    <n v="4473"/>
    <n v="4385"/>
    <n v="3760"/>
    <n v="4177"/>
    <n v="4219"/>
    <n v="3782"/>
    <n v="4052"/>
    <n v="3920"/>
    <n v="4003"/>
    <n v="3911"/>
    <n v="3805"/>
    <n v="3825"/>
    <n v="4155.0297497911197"/>
    <n v="4306"/>
    <n v="3979"/>
    <n v="3852"/>
    <n v="3990"/>
    <n v="3866"/>
    <n v="3872"/>
    <n v="3865"/>
    <n v="4063.64025917651"/>
    <n v="4082"/>
    <n v="4030"/>
    <n v="3980"/>
    <n v="4051"/>
    <n v="4015"/>
    <n v="4134"/>
    <n v="4110"/>
    <n v="4148"/>
    <n v="4200"/>
    <n v="4081"/>
    <n v="3815"/>
    <n v="3902.4461622316699"/>
    <n v="3886.5152827707998"/>
    <n v="3882.2353200431498"/>
    <n v="4949.7775142623896"/>
    <n v="4056.96540849232"/>
    <n v="4169"/>
    <n v="3883"/>
    <n v="4110"/>
    <n v="4197"/>
    <n v="3683"/>
    <n v="3690"/>
    <n v="4227.6522964367496"/>
    <n v="4365"/>
    <n v="4255"/>
    <n v="3866"/>
    <n v="4218"/>
    <n v="4054"/>
    <n v="3845"/>
    <n v="3870"/>
    <n v="4137.5012264709003"/>
    <n v="4243"/>
    <n v="4007"/>
    <n v="4201"/>
    <n v="4050"/>
    <n v="4034"/>
    <n v="4143"/>
    <n v="4087"/>
    <n v="4116"/>
    <n v="3637"/>
    <n v="4148"/>
    <n v="3528"/>
    <n v="4028"/>
    <n v="4021"/>
    <n v="4036"/>
    <n v="4272.2756753263702"/>
  </r>
  <r>
    <s v="M6"/>
    <d v="2015-02-22T00:00:00"/>
    <x v="66"/>
    <s v="NA"/>
    <n v="3882"/>
    <n v="4591"/>
    <n v="4808"/>
    <n v="5234"/>
    <n v="4080.9868814793199"/>
    <n v="4176.93717867958"/>
    <s v="NA"/>
    <s v="NA"/>
    <s v="NA"/>
    <s v="NA"/>
    <n v="4479"/>
    <n v="4388"/>
    <n v="3797"/>
    <n v="4171"/>
    <n v="4207"/>
    <n v="3839"/>
    <n v="4052"/>
    <n v="3920"/>
    <n v="4003"/>
    <n v="3911"/>
    <n v="3805"/>
    <n v="3825"/>
    <n v="4155.0297497911197"/>
    <n v="4306"/>
    <n v="3979"/>
    <n v="3852"/>
    <n v="3989"/>
    <n v="3867"/>
    <n v="3873"/>
    <n v="3866"/>
    <n v="4064.0885934007501"/>
    <n v="4083"/>
    <n v="4030"/>
    <n v="3980"/>
    <n v="4032"/>
    <n v="4015"/>
    <n v="4135"/>
    <n v="4119"/>
    <n v="4170"/>
    <n v="4234"/>
    <n v="4103"/>
    <n v="3850"/>
    <n v="3939.4461622316699"/>
    <n v="3923.5152827707998"/>
    <n v="3919.2353200431498"/>
    <n v="4949.7775142623896"/>
    <n v="4056.96540849232"/>
    <n v="4169"/>
    <n v="3883"/>
    <n v="4110"/>
    <n v="4197"/>
    <n v="3683"/>
    <n v="3690"/>
    <n v="4227.6522964367496"/>
    <n v="4365"/>
    <n v="4252"/>
    <n v="3866"/>
    <n v="4216"/>
    <n v="4053"/>
    <n v="3845"/>
    <n v="3870"/>
    <n v="4137.72077289153"/>
    <n v="4244"/>
    <n v="4007"/>
    <n v="4201"/>
    <n v="4031"/>
    <n v="4034"/>
    <n v="4144"/>
    <n v="4097"/>
    <n v="4137"/>
    <n v="3666"/>
    <n v="4170"/>
    <n v="3561"/>
    <n v="4065"/>
    <n v="4058"/>
    <n v="4073"/>
    <n v="4272.2756753263702"/>
  </r>
  <r>
    <s v="M6"/>
    <d v="2015-02-22T00:00:00"/>
    <x v="67"/>
    <s v="NA"/>
    <n v="3877"/>
    <n v="4696"/>
    <n v="4853"/>
    <n v="5240"/>
    <n v="4092.6249461699799"/>
    <n v="4166.2564101652497"/>
    <s v="NA"/>
    <s v="NA"/>
    <s v="NA"/>
    <s v="NA"/>
    <n v="4490"/>
    <n v="4395"/>
    <n v="3839"/>
    <n v="4207"/>
    <n v="4220"/>
    <n v="3903"/>
    <n v="4052"/>
    <n v="3920"/>
    <n v="4003"/>
    <n v="3911"/>
    <n v="3805"/>
    <n v="3825"/>
    <n v="4155.0297497911197"/>
    <n v="4306"/>
    <n v="3978"/>
    <n v="3852"/>
    <n v="3989"/>
    <n v="3867"/>
    <n v="3874"/>
    <n v="3866"/>
    <n v="4063.8554508869202"/>
    <n v="4083"/>
    <n v="4030"/>
    <n v="3980"/>
    <n v="4051"/>
    <n v="4015"/>
    <n v="4135"/>
    <n v="4114"/>
    <n v="4193"/>
    <n v="4257"/>
    <n v="4122"/>
    <n v="3874"/>
    <n v="3981.4461622316699"/>
    <n v="3965.5152827707998"/>
    <n v="3961.2353200431498"/>
    <n v="4949.7775142623896"/>
    <n v="4056.96540849232"/>
    <n v="4169"/>
    <n v="3883"/>
    <n v="4110"/>
    <n v="4197"/>
    <n v="3683"/>
    <n v="3690"/>
    <n v="4227.6522964367496"/>
    <n v="4365"/>
    <n v="4250"/>
    <n v="3866"/>
    <n v="4212"/>
    <n v="4053"/>
    <n v="3845"/>
    <n v="3870"/>
    <n v="4137.3360743188896"/>
    <n v="4244"/>
    <n v="4007"/>
    <n v="4201"/>
    <n v="4050"/>
    <n v="4034"/>
    <n v="4144"/>
    <n v="4091"/>
    <n v="4160"/>
    <n v="3687"/>
    <n v="4190"/>
    <n v="3583"/>
    <n v="4107"/>
    <n v="4100"/>
    <n v="4115"/>
    <n v="4272.2756753263702"/>
  </r>
  <r>
    <s v="M7"/>
    <d v="2015-02-22T00:00:00"/>
    <x v="68"/>
    <s v="NA"/>
    <n v="4005"/>
    <n v="4601"/>
    <n v="4739"/>
    <n v="5143"/>
    <n v="4113.2832833108596"/>
    <n v="4059.0692947426201"/>
    <s v="NA"/>
    <s v="NA"/>
    <s v="NA"/>
    <s v="NA"/>
    <n v="4467"/>
    <n v="4362"/>
    <n v="3892"/>
    <n v="4281"/>
    <n v="4292"/>
    <n v="3965"/>
    <n v="4055"/>
    <n v="3862"/>
    <n v="4048"/>
    <n v="3940"/>
    <n v="3800"/>
    <n v="3804"/>
    <n v="4225.21447010048"/>
    <n v="4316"/>
    <n v="4046"/>
    <n v="3857"/>
    <n v="4044"/>
    <n v="3931"/>
    <n v="3889"/>
    <n v="3910"/>
    <n v="4091.92464267373"/>
    <n v="4094"/>
    <n v="4124"/>
    <n v="4140"/>
    <n v="4003"/>
    <n v="4006"/>
    <n v="4140"/>
    <n v="4131"/>
    <n v="4204"/>
    <n v="4257"/>
    <n v="4250"/>
    <n v="4022"/>
    <n v="4034.0029220091901"/>
    <n v="4023.6449827234301"/>
    <n v="4009.7986456185899"/>
    <n v="4598.2026002289404"/>
    <n v="4233.4138864674896"/>
    <n v="4204"/>
    <n v="3862"/>
    <n v="4125"/>
    <n v="4230"/>
    <n v="4324"/>
    <n v="4283"/>
    <n v="4284.2318455575596"/>
    <n v="4362"/>
    <n v="4233"/>
    <n v="3864"/>
    <n v="4185"/>
    <n v="4043"/>
    <n v="3858"/>
    <n v="3842"/>
    <n v="4144.8790507550702"/>
    <n v="4269"/>
    <n v="4015"/>
    <n v="4187"/>
    <n v="4002"/>
    <n v="4054"/>
    <n v="4167"/>
    <n v="4104"/>
    <n v="4109"/>
    <n v="3672"/>
    <n v="4221"/>
    <n v="3669"/>
    <n v="4148"/>
    <n v="4149"/>
    <n v="4158"/>
    <n v="4375.7074117079301"/>
  </r>
  <r>
    <s v="M7"/>
    <d v="2015-02-22T00:00:00"/>
    <x v="69"/>
    <s v="NA"/>
    <n v="4062"/>
    <n v="4710"/>
    <n v="4795"/>
    <n v="5188"/>
    <n v="4143.5825587828604"/>
    <n v="4075.93672417978"/>
    <s v="NA"/>
    <s v="NA"/>
    <s v="NA"/>
    <s v="NA"/>
    <n v="4519"/>
    <n v="4408"/>
    <n v="3952"/>
    <n v="4348"/>
    <n v="4355"/>
    <n v="4023"/>
    <n v="4055"/>
    <n v="3862"/>
    <n v="4048"/>
    <n v="3940"/>
    <n v="3800"/>
    <n v="3804"/>
    <n v="4225.21447010048"/>
    <n v="4325"/>
    <n v="4047"/>
    <n v="3855"/>
    <n v="4044"/>
    <n v="3932"/>
    <n v="3889"/>
    <n v="3910"/>
    <n v="4100.2902201291099"/>
    <n v="4097"/>
    <n v="4124"/>
    <n v="4140"/>
    <n v="3995"/>
    <n v="4006"/>
    <n v="4147"/>
    <n v="4133"/>
    <n v="4245"/>
    <n v="4321"/>
    <n v="4292"/>
    <n v="4093"/>
    <n v="4094.0029220091901"/>
    <n v="4083.6449827234301"/>
    <n v="4069.7986456185899"/>
    <n v="4598.2026002289404"/>
    <n v="4233.4138864674896"/>
    <n v="4204"/>
    <n v="3862"/>
    <n v="4125"/>
    <n v="4230"/>
    <n v="4324"/>
    <n v="4283"/>
    <n v="4284.2318455575596"/>
    <n v="4371"/>
    <n v="4234"/>
    <n v="3863"/>
    <n v="4185"/>
    <n v="4043"/>
    <n v="3858"/>
    <n v="3843"/>
    <n v="4155.33582138152"/>
    <n v="4272"/>
    <n v="4015"/>
    <n v="4187"/>
    <n v="3994"/>
    <n v="4054"/>
    <n v="4172"/>
    <n v="4108"/>
    <n v="4149"/>
    <n v="3728"/>
    <n v="4262"/>
    <n v="3734"/>
    <n v="4208"/>
    <n v="4209"/>
    <n v="4218"/>
    <n v="4375.7074117079301"/>
  </r>
  <r>
    <s v="M7"/>
    <d v="2015-02-22T00:00:00"/>
    <x v="70"/>
    <s v="NA"/>
    <n v="4090"/>
    <n v="4673"/>
    <n v="4831"/>
    <n v="5088"/>
    <n v="4148.5578745347602"/>
    <n v="4055.6532460207"/>
    <s v="NA"/>
    <s v="NA"/>
    <s v="NA"/>
    <s v="NA"/>
    <n v="4527"/>
    <n v="4415"/>
    <n v="3974"/>
    <n v="4355"/>
    <n v="4362"/>
    <n v="4048"/>
    <n v="4055"/>
    <n v="3862"/>
    <n v="4048"/>
    <n v="3940"/>
    <n v="3800"/>
    <n v="3804"/>
    <n v="4225.21447010048"/>
    <n v="4325"/>
    <n v="4048"/>
    <n v="3855"/>
    <n v="4045"/>
    <n v="3932"/>
    <n v="3889"/>
    <n v="3909"/>
    <n v="4100.9116815036796"/>
    <n v="4096"/>
    <n v="4124"/>
    <n v="4162"/>
    <n v="3995"/>
    <n v="4006"/>
    <n v="4148"/>
    <n v="4135"/>
    <n v="4245"/>
    <n v="4328"/>
    <n v="4294"/>
    <n v="4100"/>
    <n v="4116.0029220091901"/>
    <n v="4105.6449827234301"/>
    <n v="4091.7986456185899"/>
    <n v="4598.2026002289404"/>
    <n v="4233.4138864674896"/>
    <n v="4204"/>
    <n v="3862"/>
    <n v="4125"/>
    <n v="4230"/>
    <n v="4324"/>
    <n v="4283"/>
    <n v="4284.2318455575596"/>
    <n v="4371"/>
    <n v="4235"/>
    <n v="3862"/>
    <n v="4187"/>
    <n v="4043"/>
    <n v="3858"/>
    <n v="3843"/>
    <n v="4154.2380600303604"/>
    <n v="4274"/>
    <n v="4015"/>
    <n v="4209"/>
    <n v="3994"/>
    <n v="4054"/>
    <n v="4175"/>
    <n v="4112"/>
    <n v="4149"/>
    <n v="3733"/>
    <n v="4264"/>
    <n v="3741"/>
    <n v="4230"/>
    <n v="4231"/>
    <n v="4240"/>
    <n v="4375.7074117079301"/>
  </r>
  <r>
    <s v="M7"/>
    <d v="2015-02-22T00:00:00"/>
    <x v="71"/>
    <s v="NA"/>
    <n v="4101"/>
    <n v="4614"/>
    <n v="4747"/>
    <n v="5097"/>
    <n v="4132.5686446378804"/>
    <n v="4058.1456430354401"/>
    <s v="NA"/>
    <s v="NA"/>
    <s v="NA"/>
    <s v="NA"/>
    <n v="4513"/>
    <n v="4403"/>
    <n v="3936"/>
    <n v="4338"/>
    <n v="4348"/>
    <n v="4105"/>
    <n v="4055"/>
    <n v="3862"/>
    <n v="4048"/>
    <n v="3940"/>
    <n v="3800"/>
    <n v="3804"/>
    <n v="4225.21447010048"/>
    <n v="4325"/>
    <n v="4048"/>
    <n v="3854"/>
    <n v="4045"/>
    <n v="3932"/>
    <n v="3889"/>
    <n v="3909"/>
    <n v="4100.7426049969599"/>
    <n v="4098"/>
    <n v="4124"/>
    <n v="4162"/>
    <n v="3995"/>
    <n v="4006"/>
    <n v="4148"/>
    <n v="4141"/>
    <n v="4235"/>
    <n v="4319"/>
    <n v="4285"/>
    <n v="4090"/>
    <n v="4078.0029220091901"/>
    <n v="4067.6449827234301"/>
    <n v="4053.7986456185899"/>
    <n v="4598.2026002289404"/>
    <n v="4233.4138864674896"/>
    <n v="4204"/>
    <n v="3862"/>
    <n v="4125"/>
    <n v="4230"/>
    <n v="4324"/>
    <n v="4283"/>
    <n v="4284.2318455575596"/>
    <n v="4371"/>
    <n v="4235"/>
    <n v="3862"/>
    <n v="4186"/>
    <n v="4043"/>
    <n v="3858"/>
    <n v="3843"/>
    <n v="4153.3921386214397"/>
    <n v="4274"/>
    <n v="4015"/>
    <n v="4209"/>
    <n v="3994"/>
    <n v="4054"/>
    <n v="4174"/>
    <n v="4118"/>
    <n v="4139"/>
    <n v="3725"/>
    <n v="4255"/>
    <n v="3732"/>
    <n v="4192"/>
    <n v="4193"/>
    <n v="4202"/>
    <n v="4375.7074117079301"/>
  </r>
  <r>
    <s v="M7"/>
    <d v="2015-02-22T00:00:00"/>
    <x v="72"/>
    <s v="NA"/>
    <n v="4082"/>
    <n v="4387"/>
    <n v="4559"/>
    <n v="4778"/>
    <n v="4075.3102590029698"/>
    <n v="4007.55264323864"/>
    <s v="NA"/>
    <s v="NA"/>
    <s v="NA"/>
    <s v="NA"/>
    <n v="4355"/>
    <n v="4238"/>
    <n v="3894"/>
    <n v="4260"/>
    <n v="4280"/>
    <n v="4074"/>
    <n v="4059"/>
    <n v="3858"/>
    <n v="4079"/>
    <n v="4030"/>
    <n v="3805"/>
    <n v="3802"/>
    <n v="4291.0637461133301"/>
    <n v="4370"/>
    <n v="4088"/>
    <n v="3685"/>
    <n v="4129"/>
    <n v="3994"/>
    <n v="3903"/>
    <n v="3928"/>
    <n v="4123.0523370913897"/>
    <n v="4124"/>
    <n v="4111"/>
    <n v="4103"/>
    <n v="3995"/>
    <n v="4025"/>
    <n v="4158"/>
    <n v="4112"/>
    <n v="4168"/>
    <n v="4131"/>
    <n v="4275"/>
    <n v="4020"/>
    <n v="4015.6454005046899"/>
    <n v="4006.5569350894002"/>
    <n v="4017.07624806992"/>
    <n v="4570.2079541526"/>
    <n v="4239.4984134516199"/>
    <n v="4071"/>
    <n v="3882"/>
    <n v="4007"/>
    <n v="4114"/>
    <n v="3673"/>
    <n v="3700"/>
    <n v="4326.4142926185305"/>
    <n v="4479"/>
    <n v="4043"/>
    <n v="3656"/>
    <n v="4048"/>
    <n v="3970"/>
    <n v="3804"/>
    <n v="3824"/>
    <n v="4155.6355825866503"/>
    <n v="4257"/>
    <n v="3997"/>
    <n v="4261"/>
    <n v="4030"/>
    <n v="4034"/>
    <n v="4176"/>
    <n v="4069"/>
    <n v="3954"/>
    <n v="3608"/>
    <n v="4125"/>
    <n v="3654"/>
    <n v="4144"/>
    <n v="4133"/>
    <n v="4151"/>
    <n v="4539.3246532821704"/>
  </r>
  <r>
    <s v="M7"/>
    <d v="2015-02-22T00:00:00"/>
    <x v="73"/>
    <s v="NA"/>
    <n v="4107"/>
    <n v="4539"/>
    <n v="4670"/>
    <n v="4971"/>
    <n v="4146.2487355715302"/>
    <n v="4071.6187235615998"/>
    <s v="NA"/>
    <s v="NA"/>
    <s v="NA"/>
    <s v="NA"/>
    <n v="4481"/>
    <n v="4370"/>
    <n v="3925"/>
    <n v="4329"/>
    <n v="4344"/>
    <n v="4079"/>
    <n v="4059"/>
    <n v="3858"/>
    <n v="4079"/>
    <n v="4030"/>
    <n v="3805"/>
    <n v="3802"/>
    <n v="4291.0637461133301"/>
    <n v="4396"/>
    <n v="4089"/>
    <n v="3686"/>
    <n v="4133"/>
    <n v="4000"/>
    <n v="3905"/>
    <n v="3931"/>
    <n v="4128.7398172591102"/>
    <n v="4135"/>
    <n v="4111"/>
    <n v="4103"/>
    <n v="4003"/>
    <n v="4025"/>
    <n v="4161"/>
    <n v="4129"/>
    <n v="4220"/>
    <n v="4181"/>
    <n v="4324"/>
    <n v="4070"/>
    <n v="4046.6454005046899"/>
    <n v="4037.5569350894002"/>
    <n v="4048.07624806992"/>
    <n v="4570.2079541526"/>
    <n v="4239.4984134516199"/>
    <n v="4071"/>
    <n v="3882"/>
    <n v="4007"/>
    <n v="4114"/>
    <n v="3673"/>
    <n v="3700"/>
    <n v="4326.4142926185305"/>
    <n v="4489"/>
    <n v="4044"/>
    <n v="3657"/>
    <n v="4050"/>
    <n v="3972"/>
    <n v="3806"/>
    <n v="3825"/>
    <n v="4162.2863310892999"/>
    <n v="4269"/>
    <n v="3997"/>
    <n v="4261"/>
    <n v="4038"/>
    <n v="4034"/>
    <n v="4179"/>
    <n v="4087"/>
    <n v="4004"/>
    <n v="3651"/>
    <n v="4173"/>
    <n v="3699"/>
    <n v="4175"/>
    <n v="4164"/>
    <n v="4182"/>
    <n v="4539.3246532821704"/>
  </r>
  <r>
    <s v="M8"/>
    <d v="2015-02-22T00:00:00"/>
    <x v="74"/>
    <s v="NA"/>
    <n v="4071"/>
    <n v="4612"/>
    <n v="4711"/>
    <n v="5220"/>
    <n v="4183.6841974422896"/>
    <n v="4097.9964754051398"/>
    <s v="NA"/>
    <s v="NA"/>
    <s v="NA"/>
    <s v="NA"/>
    <n v="4568"/>
    <n v="4469"/>
    <n v="3938"/>
    <n v="4332"/>
    <n v="4348"/>
    <n v="4089"/>
    <n v="4059"/>
    <n v="3858"/>
    <n v="4079"/>
    <n v="4030"/>
    <n v="3805"/>
    <n v="3802"/>
    <n v="4322.1624123764104"/>
    <n v="4426"/>
    <n v="4093"/>
    <n v="3686"/>
    <n v="4137"/>
    <n v="4006"/>
    <n v="3910"/>
    <n v="3937"/>
    <n v="4130.9280394714697"/>
    <n v="4135"/>
    <n v="4111"/>
    <n v="4109"/>
    <n v="4003"/>
    <n v="4025"/>
    <n v="4161"/>
    <n v="4136"/>
    <n v="4229"/>
    <n v="4176"/>
    <n v="4329"/>
    <n v="4064"/>
    <n v="4059.6454005046899"/>
    <n v="4050.5569350894002"/>
    <n v="4061.07624806992"/>
    <n v="4735.4628451907101"/>
    <n v="4278.1461009942304"/>
    <n v="4071"/>
    <n v="3882"/>
    <n v="4007"/>
    <n v="4114"/>
    <n v="3673"/>
    <n v="3700"/>
    <n v="4357.7691552266197"/>
    <n v="4519"/>
    <n v="4046"/>
    <n v="3658"/>
    <n v="4052"/>
    <n v="3976"/>
    <n v="3807"/>
    <n v="3827"/>
    <n v="4165.0616224182104"/>
    <n v="4268"/>
    <n v="3997"/>
    <n v="4268"/>
    <n v="4038"/>
    <n v="4034"/>
    <n v="4178"/>
    <n v="4092"/>
    <n v="4012"/>
    <n v="3648"/>
    <n v="4177"/>
    <n v="3694"/>
    <n v="4188"/>
    <n v="4177"/>
    <n v="4195"/>
    <n v="4479.8588923439102"/>
  </r>
  <r>
    <s v="M8"/>
    <d v="2015-02-22T00:00:00"/>
    <x v="75"/>
    <s v="NA"/>
    <n v="4245"/>
    <n v="4593"/>
    <n v="4761"/>
    <n v="5330"/>
    <n v="4256.5286699319304"/>
    <n v="4040.9600403115801"/>
    <s v="NA"/>
    <s v="NA"/>
    <s v="NA"/>
    <s v="NA"/>
    <n v="4611"/>
    <n v="4504"/>
    <n v="4054"/>
    <n v="4441"/>
    <n v="4484"/>
    <n v="4066"/>
    <n v="4059"/>
    <n v="3858"/>
    <n v="4079"/>
    <n v="4030"/>
    <n v="3805"/>
    <n v="3802"/>
    <n v="4329.8502417970503"/>
    <n v="4424"/>
    <n v="4093"/>
    <n v="3687"/>
    <n v="4138"/>
    <n v="4007"/>
    <n v="3911"/>
    <n v="3938"/>
    <n v="4141.4757490310503"/>
    <n v="4153"/>
    <n v="4111"/>
    <n v="4123"/>
    <n v="4003"/>
    <n v="4025"/>
    <n v="4174"/>
    <n v="4155"/>
    <n v="4279"/>
    <n v="4268"/>
    <n v="4387"/>
    <n v="4165"/>
    <n v="4175.6454005046899"/>
    <n v="4166.5569350894002"/>
    <n v="4177.0762480699204"/>
    <n v="4735.4628451907101"/>
    <n v="4278.1461009942304"/>
    <n v="4071"/>
    <n v="3882"/>
    <n v="4007"/>
    <n v="4114"/>
    <n v="3673"/>
    <n v="3700"/>
    <n v="4357.7691552266197"/>
    <n v="4527"/>
    <n v="4046"/>
    <n v="3658"/>
    <n v="4052"/>
    <n v="3976"/>
    <n v="3806"/>
    <n v="3826"/>
    <n v="4179.0905339782203"/>
    <n v="4289"/>
    <n v="3997"/>
    <n v="4282"/>
    <n v="4038"/>
    <n v="4034"/>
    <n v="4191"/>
    <n v="4114"/>
    <n v="4060"/>
    <n v="3728"/>
    <n v="4234"/>
    <n v="3786"/>
    <n v="4304"/>
    <n v="4293"/>
    <n v="4311"/>
    <n v="4479.8588923439102"/>
  </r>
  <r>
    <s v="M8"/>
    <d v="2015-02-22T00:00:00"/>
    <x v="76"/>
    <s v="NA"/>
    <n v="4385"/>
    <n v="4632"/>
    <n v="4595"/>
    <n v="5187"/>
    <n v="4229.5556386041699"/>
    <n v="4047.3559320070199"/>
    <s v="NA"/>
    <s v="NA"/>
    <s v="NA"/>
    <s v="NA"/>
    <n v="4592"/>
    <n v="4467"/>
    <n v="4253"/>
    <n v="4543"/>
    <n v="4556"/>
    <n v="3940"/>
    <n v="4283"/>
    <n v="3770"/>
    <n v="4188"/>
    <n v="4083"/>
    <n v="3825"/>
    <n v="3816"/>
    <n v="4416.2122638138899"/>
    <n v="4567"/>
    <n v="4367"/>
    <n v="3440"/>
    <n v="4309"/>
    <n v="4159"/>
    <n v="3993"/>
    <n v="3998"/>
    <n v="4177.6428011241296"/>
    <n v="4160"/>
    <n v="4107"/>
    <n v="4151"/>
    <n v="4028"/>
    <n v="4004"/>
    <n v="4210"/>
    <n v="4166"/>
    <n v="4332"/>
    <n v="4205"/>
    <n v="4436"/>
    <n v="4204"/>
    <n v="4324.6574743681804"/>
    <n v="4327.9814098878996"/>
    <n v="4344.4983327705004"/>
    <n v="4682.01628854519"/>
    <n v="4349.9014480763999"/>
    <n v="4208"/>
    <n v="3801"/>
    <n v="4097"/>
    <n v="4171"/>
    <n v="4340"/>
    <n v="4327"/>
    <n v="4278.7348400581895"/>
    <n v="4370"/>
    <n v="4153"/>
    <n v="3440"/>
    <n v="4136"/>
    <n v="3984"/>
    <n v="3770"/>
    <n v="3803"/>
    <n v="4176.4618762617802"/>
    <n v="4286"/>
    <n v="3991"/>
    <n v="4238"/>
    <n v="4047"/>
    <n v="3930"/>
    <n v="4091"/>
    <n v="4057"/>
    <n v="3988"/>
    <n v="3782"/>
    <n v="4155"/>
    <n v="3806"/>
    <n v="4490"/>
    <n v="4487"/>
    <n v="4494"/>
    <n v="4148.7426288397901"/>
  </r>
  <r>
    <s v="M8"/>
    <d v="2015-02-22T00:00:00"/>
    <x v="77"/>
    <s v="NA"/>
    <n v="4371"/>
    <n v="4632"/>
    <n v="4542"/>
    <n v="5083"/>
    <n v="4274.9543793046796"/>
    <n v="4079.46251869752"/>
    <s v="NA"/>
    <s v="NA"/>
    <s v="NA"/>
    <s v="NA"/>
    <n v="4553"/>
    <n v="4423"/>
    <n v="4254"/>
    <n v="4520"/>
    <n v="4531"/>
    <n v="4060"/>
    <n v="4283"/>
    <n v="3770"/>
    <n v="4184"/>
    <n v="4083"/>
    <n v="3825"/>
    <n v="3816"/>
    <n v="4416.2122638138899"/>
    <n v="4567"/>
    <n v="4365"/>
    <n v="3440"/>
    <n v="4308"/>
    <n v="4159"/>
    <n v="3992"/>
    <n v="3997"/>
    <n v="4176.7869210826002"/>
    <n v="4161"/>
    <n v="4107"/>
    <n v="4151"/>
    <n v="4028"/>
    <n v="4004"/>
    <n v="4210"/>
    <n v="4165"/>
    <n v="4326"/>
    <n v="4200"/>
    <n v="4430"/>
    <n v="4198"/>
    <n v="4325.6574743681804"/>
    <n v="4328.9814098878996"/>
    <n v="4345.4983327705004"/>
    <n v="4682.01628854519"/>
    <n v="4349.9014480763999"/>
    <n v="4208"/>
    <n v="3801"/>
    <n v="4097"/>
    <n v="4171"/>
    <n v="4340"/>
    <n v="4327"/>
    <n v="4278.7348400581895"/>
    <n v="4370"/>
    <n v="4153"/>
    <n v="3440"/>
    <n v="4135"/>
    <n v="3984"/>
    <n v="3769"/>
    <n v="3803"/>
    <n v="4175.4446597817196"/>
    <n v="4285"/>
    <n v="3991"/>
    <n v="4238"/>
    <n v="4047"/>
    <n v="3930"/>
    <n v="4090"/>
    <n v="4054"/>
    <n v="3983"/>
    <n v="3777"/>
    <n v="4149"/>
    <n v="3801"/>
    <n v="4491"/>
    <n v="4488"/>
    <n v="4495"/>
    <n v="4148.7426288397901"/>
  </r>
  <r>
    <s v="M8"/>
    <d v="2015-02-22T00:00:00"/>
    <x v="78"/>
    <s v="NA"/>
    <n v="4172"/>
    <n v="4632"/>
    <n v="4472"/>
    <n v="4895"/>
    <n v="4148.0986378310899"/>
    <n v="4035.4275440051701"/>
    <s v="NA"/>
    <s v="NA"/>
    <s v="NA"/>
    <s v="NA"/>
    <n v="4430"/>
    <n v="4300"/>
    <n v="4131"/>
    <n v="4378"/>
    <n v="4388"/>
    <n v="4086"/>
    <n v="4281"/>
    <n v="3770"/>
    <n v="4179"/>
    <n v="4081"/>
    <n v="3825"/>
    <n v="3816"/>
    <n v="4407.09792922823"/>
    <n v="4536"/>
    <n v="4359"/>
    <n v="3440"/>
    <n v="4299"/>
    <n v="4154"/>
    <n v="3985"/>
    <n v="3992"/>
    <n v="4157.6556706587598"/>
    <n v="4149"/>
    <n v="4107"/>
    <n v="4151"/>
    <n v="3953"/>
    <n v="4004"/>
    <n v="4193"/>
    <n v="4133"/>
    <n v="4256"/>
    <n v="4106"/>
    <n v="4353"/>
    <n v="4098"/>
    <n v="4202.6574743681804"/>
    <n v="4205.9814098878996"/>
    <n v="4222.4983327705004"/>
    <n v="4682.01628854519"/>
    <n v="4349.9014480763999"/>
    <n v="4208"/>
    <n v="3801"/>
    <n v="4095"/>
    <n v="4166"/>
    <n v="4340"/>
    <n v="4327"/>
    <n v="4277.4991140402899"/>
    <n v="4296"/>
    <n v="4147"/>
    <n v="3437"/>
    <n v="4130"/>
    <n v="3982"/>
    <n v="3766"/>
    <n v="3802"/>
    <n v="4150.7139405733296"/>
    <n v="4266"/>
    <n v="3991"/>
    <n v="4239"/>
    <n v="3972"/>
    <n v="3930"/>
    <n v="4069"/>
    <n v="3999"/>
    <n v="3918"/>
    <n v="3693"/>
    <n v="4077"/>
    <n v="3710"/>
    <n v="4368"/>
    <n v="4365"/>
    <n v="4372"/>
    <n v="4148.7426288397901"/>
  </r>
  <r>
    <s v="M8"/>
    <d v="2015-02-22T00:00:00"/>
    <x v="79"/>
    <s v="NA"/>
    <n v="3991"/>
    <n v="4632"/>
    <n v="4380"/>
    <n v="4786"/>
    <n v="4090.8430369183702"/>
    <n v="3956.3424658403501"/>
    <s v="NA"/>
    <s v="NA"/>
    <s v="NA"/>
    <s v="NA"/>
    <n v="4335"/>
    <n v="4208"/>
    <n v="3979"/>
    <n v="4222"/>
    <n v="4262"/>
    <n v="4052"/>
    <n v="4277"/>
    <n v="3770"/>
    <n v="4174"/>
    <n v="4081"/>
    <n v="3825"/>
    <n v="3816"/>
    <n v="4407.09792922823"/>
    <n v="4517"/>
    <n v="4354"/>
    <n v="3438"/>
    <n v="4291"/>
    <n v="4150"/>
    <n v="3980"/>
    <n v="3990"/>
    <n v="4134.3082696252304"/>
    <n v="4131"/>
    <n v="4107"/>
    <n v="4062"/>
    <n v="3921"/>
    <n v="4004"/>
    <n v="4176"/>
    <n v="4105"/>
    <n v="4203"/>
    <n v="4001"/>
    <n v="4291"/>
    <n v="3978"/>
    <n v="4050.6574743681799"/>
    <n v="4053.9814098879001"/>
    <n v="4070.4983327704999"/>
    <n v="4682.01628854519"/>
    <n v="4349.9014480763999"/>
    <n v="4208"/>
    <n v="3801"/>
    <n v="4091"/>
    <n v="4155"/>
    <n v="4340"/>
    <n v="4327"/>
    <n v="4277.4991140402899"/>
    <n v="4254"/>
    <n v="4143"/>
    <n v="3434"/>
    <n v="4125"/>
    <n v="3980"/>
    <n v="3766"/>
    <n v="3800"/>
    <n v="4121.7128618443103"/>
    <n v="4239"/>
    <n v="3991"/>
    <n v="4148"/>
    <n v="3940"/>
    <n v="3930"/>
    <n v="4051"/>
    <n v="3967"/>
    <n v="3870"/>
    <n v="3598"/>
    <n v="4019"/>
    <n v="3601"/>
    <n v="4216"/>
    <n v="4213"/>
    <n v="4220"/>
    <n v="4148.7426288397901"/>
  </r>
  <r>
    <s v="M8"/>
    <d v="2015-02-22T00:00:00"/>
    <x v="80"/>
    <s v="NA"/>
    <n v="3742"/>
    <n v="4613"/>
    <n v="4079"/>
    <n v="4089"/>
    <n v="4015.5293540933399"/>
    <n v="3845.84638197511"/>
    <s v="NA"/>
    <s v="NA"/>
    <s v="NA"/>
    <s v="NA"/>
    <n v="4084"/>
    <n v="3937"/>
    <n v="3790"/>
    <n v="3966"/>
    <n v="4063"/>
    <n v="3866"/>
    <n v="4331"/>
    <n v="3686"/>
    <n v="4211"/>
    <n v="4273"/>
    <n v="3842"/>
    <n v="3840"/>
    <n v="4417.5197136011602"/>
    <n v="4563"/>
    <n v="4526"/>
    <n v="3360"/>
    <n v="4421"/>
    <n v="4423"/>
    <n v="4057"/>
    <n v="4042"/>
    <n v="4132.7787499769902"/>
    <n v="4109"/>
    <n v="4130"/>
    <n v="4162"/>
    <n v="3870"/>
    <n v="4141"/>
    <n v="4163"/>
    <n v="4077"/>
    <n v="4112"/>
    <n v="3734"/>
    <n v="4149"/>
    <n v="3770"/>
    <n v="3828.5450899457401"/>
    <n v="3819.49940293191"/>
    <n v="3855.9645340680299"/>
    <n v="4581.1826210770596"/>
    <n v="4394.6813664238998"/>
    <n v="4244"/>
    <n v="3702"/>
    <n v="4150"/>
    <n v="4304"/>
    <n v="4333"/>
    <n v="4287"/>
    <n v="4241.5968187210701"/>
    <n v="4294"/>
    <n v="3903"/>
    <n v="3387"/>
    <n v="3923"/>
    <n v="3918"/>
    <n v="3690"/>
    <n v="3728"/>
    <n v="3975.70001460412"/>
    <n v="4059"/>
    <n v="3818"/>
    <n v="3966"/>
    <n v="3797"/>
    <n v="3871"/>
    <n v="3916"/>
    <n v="3793"/>
    <n v="3694"/>
    <n v="3441"/>
    <n v="3800"/>
    <n v="3398"/>
    <n v="4011"/>
    <n v="4006"/>
    <n v="4030"/>
    <n v="3903.7446808545201"/>
  </r>
  <r>
    <s v="M8"/>
    <d v="2015-02-22T00:00:00"/>
    <x v="81"/>
    <s v="NA"/>
    <n v="3644"/>
    <n v="4613"/>
    <n v="4000"/>
    <n v="4021"/>
    <n v="3923.9390696027699"/>
    <n v="3802.0713374872898"/>
    <s v="NA"/>
    <s v="NA"/>
    <s v="NA"/>
    <s v="NA"/>
    <n v="3985"/>
    <n v="3833"/>
    <n v="3682"/>
    <n v="3854"/>
    <n v="3880"/>
    <n v="3848"/>
    <n v="4292"/>
    <n v="3671"/>
    <n v="4177"/>
    <n v="4259"/>
    <n v="3842"/>
    <n v="3840"/>
    <n v="4107.0860501053803"/>
    <n v="4163"/>
    <n v="4518"/>
    <n v="3355"/>
    <n v="4400"/>
    <n v="4410"/>
    <n v="4053"/>
    <n v="4037"/>
    <n v="3901.2641021773902"/>
    <n v="3907"/>
    <n v="4130"/>
    <n v="3941"/>
    <n v="3607"/>
    <n v="4141"/>
    <n v="4074"/>
    <n v="3895"/>
    <n v="4094"/>
    <n v="3683"/>
    <n v="4123"/>
    <n v="3706"/>
    <n v="3720.5450899457401"/>
    <n v="3711.49940293191"/>
    <n v="3747.9645340680299"/>
    <n v="4581.1826210770596"/>
    <n v="4394.6813664238998"/>
    <n v="4205"/>
    <n v="3686"/>
    <n v="4077"/>
    <n v="4251"/>
    <n v="4328"/>
    <n v="4287"/>
    <n v="3966.0220606412599"/>
    <n v="3976"/>
    <n v="3888"/>
    <n v="3377"/>
    <n v="3892"/>
    <n v="3909"/>
    <n v="3686"/>
    <n v="3722"/>
    <n v="3736.7173026638302"/>
    <n v="3749"/>
    <n v="3818"/>
    <n v="3838"/>
    <n v="3578"/>
    <n v="3871"/>
    <n v="3788"/>
    <n v="3655"/>
    <n v="3678"/>
    <n v="3393"/>
    <n v="3777"/>
    <n v="3340"/>
    <n v="3903"/>
    <n v="3898"/>
    <n v="3922"/>
    <n v="3903.7446808545201"/>
  </r>
  <r>
    <s v="M8"/>
    <d v="2015-02-22T00:00:00"/>
    <x v="82"/>
    <s v="NA"/>
    <n v="3581"/>
    <n v="4613"/>
    <n v="3957"/>
    <n v="4007"/>
    <n v="3894.6249711955302"/>
    <n v="3740.6412311189902"/>
    <s v="NA"/>
    <s v="NA"/>
    <s v="NA"/>
    <s v="NA"/>
    <n v="3932"/>
    <n v="3777"/>
    <n v="3662"/>
    <n v="3913"/>
    <n v="3921"/>
    <n v="3672"/>
    <n v="4238"/>
    <n v="3648"/>
    <n v="4112"/>
    <n v="4154"/>
    <n v="3829"/>
    <n v="3829"/>
    <n v="4116.8824083236896"/>
    <n v="4155"/>
    <n v="4493"/>
    <n v="3346"/>
    <n v="4378"/>
    <n v="4388"/>
    <n v="4046"/>
    <n v="4023"/>
    <n v="3881.3636966376798"/>
    <n v="3884"/>
    <n v="4130"/>
    <n v="3931"/>
    <n v="3569"/>
    <n v="4141"/>
    <n v="4022"/>
    <n v="3855"/>
    <n v="4084"/>
    <n v="3653"/>
    <n v="4108"/>
    <n v="3668"/>
    <n v="3700.5450899457401"/>
    <n v="3691.49940293191"/>
    <n v="3727.9645340680299"/>
    <n v="4581.1826210770596"/>
    <n v="4394.6813664238998"/>
    <n v="4139"/>
    <n v="3648"/>
    <n v="3986"/>
    <n v="4192"/>
    <n v="4319"/>
    <n v="4276"/>
    <n v="3975.4819483411402"/>
    <n v="3969"/>
    <n v="3848"/>
    <n v="3355"/>
    <n v="3850"/>
    <n v="3880"/>
    <n v="3665"/>
    <n v="3694"/>
    <n v="3707.48972390069"/>
    <n v="3721"/>
    <n v="3818"/>
    <n v="3833"/>
    <n v="3568"/>
    <n v="3871"/>
    <n v="3754"/>
    <n v="3627"/>
    <n v="3669"/>
    <n v="3365"/>
    <n v="3762"/>
    <n v="3306"/>
    <n v="3883"/>
    <n v="3878"/>
    <n v="3902"/>
    <n v="3903.7446808545201"/>
  </r>
  <r>
    <s v="M8"/>
    <d v="2015-02-22T00:00:00"/>
    <x v="83"/>
    <s v="NA"/>
    <n v="3528"/>
    <n v="3895"/>
    <n v="3874"/>
    <n v="3946"/>
    <n v="3748.9723808614999"/>
    <n v="3674.6074029198298"/>
    <s v="NA"/>
    <s v="NA"/>
    <s v="NA"/>
    <s v="NA"/>
    <n v="3740"/>
    <n v="3596"/>
    <n v="3456"/>
    <n v="3709"/>
    <n v="3717"/>
    <n v="3514"/>
    <n v="4116"/>
    <n v="3621"/>
    <n v="3993"/>
    <n v="3992"/>
    <n v="3827"/>
    <n v="3826"/>
    <n v="3741.1934687558"/>
    <n v="3851"/>
    <n v="4459"/>
    <n v="3336"/>
    <n v="4327"/>
    <n v="4328"/>
    <n v="4034"/>
    <n v="4008"/>
    <n v="3832.9315273193201"/>
    <n v="3843"/>
    <n v="4130"/>
    <n v="3571"/>
    <n v="3220"/>
    <n v="4141"/>
    <n v="3973"/>
    <n v="3774"/>
    <n v="3807"/>
    <n v="3420"/>
    <n v="3856"/>
    <n v="3475"/>
    <n v="3494.5450899457401"/>
    <n v="3485.49940293191"/>
    <n v="3521.9645340680299"/>
    <n v="4581.1826210770596"/>
    <n v="4394.6813664238998"/>
    <n v="3921"/>
    <n v="3616"/>
    <n v="3788"/>
    <n v="3984"/>
    <n v="4312"/>
    <n v="4271"/>
    <n v="3657.3997182416001"/>
    <n v="3624"/>
    <n v="3793"/>
    <n v="3345"/>
    <n v="3810"/>
    <n v="3843"/>
    <n v="3644"/>
    <n v="3667"/>
    <n v="3570.0813735236902"/>
    <n v="3585"/>
    <n v="3818"/>
    <n v="3482"/>
    <n v="3280"/>
    <n v="3871"/>
    <n v="3692"/>
    <n v="3552"/>
    <n v="3420"/>
    <n v="3151"/>
    <n v="3531"/>
    <n v="3132"/>
    <n v="3677"/>
    <n v="3672"/>
    <n v="3696"/>
    <n v="3903.7446808545201"/>
  </r>
  <r>
    <s v="M8"/>
    <d v="2015-02-22T00:00:00"/>
    <x v="84"/>
    <s v="NA"/>
    <n v="3399"/>
    <n v="3364"/>
    <n v="3659"/>
    <n v="3628"/>
    <n v="3532.7811755576899"/>
    <n v="3473.4275727889399"/>
    <s v="NA"/>
    <s v="NA"/>
    <s v="NA"/>
    <s v="NA"/>
    <n v="3470"/>
    <n v="3319"/>
    <n v="3249"/>
    <n v="3479"/>
    <n v="3490"/>
    <n v="3317"/>
    <n v="4059"/>
    <n v="3567"/>
    <n v="4006"/>
    <n v="4044"/>
    <n v="3864"/>
    <n v="3836"/>
    <n v="3553.1169261712398"/>
    <n v="3541"/>
    <n v="4308"/>
    <n v="3383"/>
    <n v="4247"/>
    <n v="4364"/>
    <n v="4058"/>
    <n v="4062"/>
    <n v="3646.2254306555001"/>
    <n v="3660"/>
    <n v="4169"/>
    <n v="3457"/>
    <n v="2971"/>
    <n v="4212"/>
    <n v="3879"/>
    <n v="3679"/>
    <n v="3430"/>
    <n v="3002"/>
    <n v="3471"/>
    <n v="3097"/>
    <n v="3245.0592861452801"/>
    <n v="3239.5340089484798"/>
    <n v="3249.4379467013"/>
    <n v="4408.3859457236904"/>
    <n v="4478.5573795274604"/>
    <n v="3760"/>
    <n v="3565"/>
    <n v="3733"/>
    <n v="3846"/>
    <n v="4302"/>
    <n v="4220"/>
    <n v="3236.3240169144001"/>
    <n v="3290"/>
    <n v="3641"/>
    <n v="3377"/>
    <n v="3683"/>
    <n v="3689"/>
    <n v="3560"/>
    <n v="3542"/>
    <n v="3321.8997744624999"/>
    <n v="3327"/>
    <n v="3835"/>
    <n v="3278"/>
    <n v="3187"/>
    <n v="3827"/>
    <n v="3485"/>
    <n v="3230"/>
    <n v="3083"/>
    <n v="2797"/>
    <n v="3213"/>
    <n v="2818"/>
    <n v="3436"/>
    <n v="3452"/>
    <n v="3462"/>
    <n v="3909.76450628166"/>
  </r>
  <r>
    <s v="M8"/>
    <d v="2015-02-22T00:00:00"/>
    <x v="85"/>
    <s v="NA"/>
    <n v="3316"/>
    <n v="3192"/>
    <n v="3519"/>
    <n v="3560"/>
    <n v="3420.6392304435499"/>
    <n v="3451.1730291839699"/>
    <s v="NA"/>
    <s v="NA"/>
    <s v="NA"/>
    <s v="NA"/>
    <n v="3373"/>
    <n v="3225"/>
    <n v="3130"/>
    <n v="3377"/>
    <n v="3388"/>
    <n v="3175"/>
    <n v="4059"/>
    <n v="3543"/>
    <n v="4006"/>
    <n v="4044"/>
    <n v="3864"/>
    <n v="3836"/>
    <n v="3539.1975884011499"/>
    <n v="3519"/>
    <n v="4303"/>
    <n v="3375"/>
    <n v="4239"/>
    <n v="4364"/>
    <n v="4056"/>
    <n v="4059"/>
    <n v="3622.36956367115"/>
    <n v="3640"/>
    <n v="4169"/>
    <n v="3429"/>
    <n v="2950"/>
    <n v="4212"/>
    <n v="3869"/>
    <n v="3658"/>
    <n v="3371"/>
    <n v="2914"/>
    <n v="3404"/>
    <n v="3007"/>
    <n v="3126.0592861452801"/>
    <n v="3120.5340089484798"/>
    <n v="3130.4379467013"/>
    <n v="4408.3859457236904"/>
    <n v="4478.5573795274604"/>
    <n v="3760"/>
    <n v="3549"/>
    <n v="3733"/>
    <n v="3844"/>
    <n v="4302"/>
    <n v="4220"/>
    <n v="3207.2452560111901"/>
    <n v="3269"/>
    <n v="3633"/>
    <n v="3368"/>
    <n v="3667"/>
    <n v="3673"/>
    <n v="3550"/>
    <n v="3527"/>
    <n v="3291.8990773738401"/>
    <n v="3305"/>
    <n v="3835"/>
    <n v="3262"/>
    <n v="3164"/>
    <n v="3827"/>
    <n v="3468"/>
    <n v="3221"/>
    <n v="3030"/>
    <n v="2714"/>
    <n v="3151"/>
    <n v="2736"/>
    <n v="3317"/>
    <n v="3333"/>
    <n v="3343"/>
    <n v="3909.76450628166"/>
  </r>
  <r>
    <s v="M9"/>
    <d v="2015-02-22T00:00:00"/>
    <x v="86"/>
    <s v="NA"/>
    <n v="3269"/>
    <n v="3085"/>
    <n v="3417"/>
    <n v="3508"/>
    <n v="3204.37776613284"/>
    <n v="3384.8871148975099"/>
    <s v="NA"/>
    <s v="NA"/>
    <s v="NA"/>
    <s v="NA"/>
    <n v="3299"/>
    <n v="3150"/>
    <n v="3080"/>
    <n v="3310"/>
    <n v="3323"/>
    <n v="3092"/>
    <n v="4059"/>
    <n v="3542"/>
    <n v="4006"/>
    <n v="4041"/>
    <n v="3864"/>
    <n v="3836"/>
    <n v="3539.1975884011499"/>
    <n v="3508"/>
    <n v="4301"/>
    <n v="3363"/>
    <n v="4234"/>
    <n v="4364"/>
    <n v="4052"/>
    <n v="4055"/>
    <n v="3595.2932546007701"/>
    <n v="3628"/>
    <n v="4169"/>
    <n v="3398"/>
    <n v="2950"/>
    <n v="4212"/>
    <n v="3866"/>
    <n v="3639"/>
    <n v="3341"/>
    <n v="2872"/>
    <n v="3368"/>
    <n v="2961"/>
    <n v="3076.0592861452801"/>
    <n v="3070.5340089484798"/>
    <n v="3080.4379467013"/>
    <n v="2842.8247606641899"/>
    <n v="3199.9110990332501"/>
    <n v="3760"/>
    <n v="3543"/>
    <n v="3733"/>
    <n v="3844"/>
    <n v="4302"/>
    <n v="4220"/>
    <n v="3207.2452560111901"/>
    <n v="3263"/>
    <n v="3620"/>
    <n v="3360"/>
    <n v="3660"/>
    <n v="3668"/>
    <n v="3538"/>
    <n v="3509"/>
    <n v="3267.1560104076202"/>
    <n v="3283"/>
    <n v="3835"/>
    <n v="3232"/>
    <n v="3164"/>
    <n v="3827"/>
    <n v="3456"/>
    <n v="3212"/>
    <n v="3003"/>
    <n v="2675"/>
    <n v="3118"/>
    <n v="2694"/>
    <n v="3267"/>
    <n v="3283"/>
    <n v="3293"/>
    <n v="3366.32088057798"/>
  </r>
  <r>
    <s v="M9"/>
    <d v="2015-02-22T00:00:00"/>
    <x v="87"/>
    <s v="NA"/>
    <n v="3201"/>
    <n v="3072"/>
    <n v="3373"/>
    <n v="3522"/>
    <n v="3201.0970315602599"/>
    <n v="3364.6782489914599"/>
    <s v="NA"/>
    <s v="NA"/>
    <s v="NA"/>
    <s v="NA"/>
    <n v="3257"/>
    <n v="3109"/>
    <n v="3100"/>
    <n v="3256"/>
    <n v="3268"/>
    <n v="3100"/>
    <n v="4059"/>
    <n v="3542"/>
    <n v="4006"/>
    <n v="4041"/>
    <n v="3864"/>
    <n v="3836"/>
    <n v="3539.1975884011499"/>
    <n v="3508"/>
    <n v="4301"/>
    <n v="3358"/>
    <n v="4234"/>
    <n v="4364"/>
    <n v="4051"/>
    <n v="4054"/>
    <n v="3588.5077277429"/>
    <n v="3620"/>
    <n v="4169"/>
    <n v="3398"/>
    <n v="2950"/>
    <n v="4212"/>
    <n v="3867"/>
    <n v="3645"/>
    <n v="3272"/>
    <n v="2831"/>
    <n v="3300"/>
    <n v="2917"/>
    <n v="3096.0592861452801"/>
    <n v="3090.5340089484798"/>
    <n v="3100.4379467013"/>
    <n v="2842.8247606641899"/>
    <n v="3199.9110990332501"/>
    <n v="3760"/>
    <n v="3543"/>
    <n v="3733"/>
    <n v="3844"/>
    <n v="4302"/>
    <n v="4220"/>
    <n v="3207.2452560111901"/>
    <n v="3263"/>
    <n v="3619"/>
    <n v="3356"/>
    <n v="3656"/>
    <n v="3666"/>
    <n v="3534"/>
    <n v="3506"/>
    <n v="3257.8984725280802"/>
    <n v="3275"/>
    <n v="3835"/>
    <n v="3232"/>
    <n v="3164"/>
    <n v="3827"/>
    <n v="3453"/>
    <n v="3226"/>
    <n v="2941"/>
    <n v="2637"/>
    <n v="3054"/>
    <n v="2655"/>
    <n v="3287"/>
    <n v="3303"/>
    <n v="3313"/>
    <n v="3366.32088057798"/>
  </r>
  <r>
    <s v="M9"/>
    <d v="2015-02-22T00:00:00"/>
    <x v="88"/>
    <s v="NA"/>
    <n v="3524"/>
    <n v="3196"/>
    <n v="3421"/>
    <n v="3538"/>
    <n v="3489.0333076584102"/>
    <n v="3340.6995812002801"/>
    <s v="NA"/>
    <s v="NA"/>
    <s v="NA"/>
    <s v="NA"/>
    <n v="3402"/>
    <n v="3240"/>
    <n v="3306"/>
    <n v="3492"/>
    <n v="3511"/>
    <n v="3188"/>
    <n v="4014"/>
    <n v="3537"/>
    <n v="3954"/>
    <n v="3943"/>
    <n v="4296"/>
    <n v="4264"/>
    <n v="3517.4745439272801"/>
    <n v="3518"/>
    <n v="4226"/>
    <n v="3366"/>
    <n v="4192"/>
    <n v="4290"/>
    <n v="4324"/>
    <n v="4310"/>
    <n v="3626.3507791223301"/>
    <n v="3623"/>
    <n v="4204"/>
    <n v="3437"/>
    <n v="2976"/>
    <n v="4228"/>
    <n v="3881"/>
    <n v="3657"/>
    <n v="3544"/>
    <n v="3041"/>
    <n v="3526"/>
    <n v="3196"/>
    <n v="3304.6186935045898"/>
    <n v="3280.22173555573"/>
    <n v="3294.4321613164102"/>
    <n v="2905.0804179739598"/>
    <n v="3202.30742486298"/>
    <n v="3646"/>
    <n v="3542"/>
    <n v="3622"/>
    <n v="3803"/>
    <n v="4168"/>
    <n v="4137"/>
    <n v="3233.25388187104"/>
    <n v="3376"/>
    <n v="3630"/>
    <n v="3378"/>
    <n v="3628"/>
    <n v="3577"/>
    <n v="3486"/>
    <n v="3524"/>
    <n v="3357.50667016636"/>
    <n v="3347"/>
    <n v="3427"/>
    <n v="3247"/>
    <n v="3078"/>
    <n v="3706"/>
    <n v="3431"/>
    <n v="3193"/>
    <n v="3196"/>
    <n v="2872"/>
    <n v="3303"/>
    <n v="2897"/>
    <n v="3449"/>
    <n v="3478"/>
    <n v="3499"/>
    <n v="3376.5053730643299"/>
  </r>
  <r>
    <s v="M9"/>
    <d v="2015-02-22T00:00:00"/>
    <x v="89"/>
    <s v="NA"/>
    <n v="3522"/>
    <n v="3293"/>
    <n v="3482"/>
    <n v="3540"/>
    <n v="3527.5197278759501"/>
    <n v="3457.0231967261202"/>
    <s v="NA"/>
    <s v="NA"/>
    <s v="NA"/>
    <s v="NA"/>
    <n v="3436"/>
    <n v="3274"/>
    <n v="3342"/>
    <n v="3515"/>
    <n v="3532"/>
    <n v="3258"/>
    <n v="4014"/>
    <n v="3537"/>
    <n v="3954"/>
    <n v="3943"/>
    <n v="4296"/>
    <n v="4264"/>
    <n v="3521.2853553120999"/>
    <n v="3521"/>
    <n v="4226"/>
    <n v="3367"/>
    <n v="4192"/>
    <n v="4290"/>
    <n v="4324"/>
    <n v="4310"/>
    <n v="3632.2726215806101"/>
    <n v="3630"/>
    <n v="4204"/>
    <n v="3437"/>
    <n v="2976"/>
    <n v="4228"/>
    <n v="3888"/>
    <n v="3663"/>
    <n v="3527"/>
    <n v="3055"/>
    <n v="3514"/>
    <n v="3210"/>
    <n v="3340.6186935045898"/>
    <n v="3316.22173555573"/>
    <n v="3330.4321613164102"/>
    <n v="2905.0804179739598"/>
    <n v="3202.30742486298"/>
    <n v="3646"/>
    <n v="3542"/>
    <n v="3622"/>
    <n v="3803"/>
    <n v="4168"/>
    <n v="4137"/>
    <n v="3236.75677024994"/>
    <n v="3379"/>
    <n v="3631"/>
    <n v="3379"/>
    <n v="3628"/>
    <n v="3577"/>
    <n v="3487"/>
    <n v="3524"/>
    <n v="3361.3472812177502"/>
    <n v="3353"/>
    <n v="3427"/>
    <n v="3247"/>
    <n v="3078"/>
    <n v="3706"/>
    <n v="3439"/>
    <n v="3197"/>
    <n v="3181"/>
    <n v="2885"/>
    <n v="3293"/>
    <n v="2910"/>
    <n v="3485"/>
    <n v="3514"/>
    <n v="3535"/>
    <n v="3376.5053730643299"/>
  </r>
  <r>
    <s v="M9"/>
    <d v="2015-02-22T00:00:00"/>
    <x v="90"/>
    <s v="NA"/>
    <n v="3439"/>
    <n v="3251"/>
    <n v="3475"/>
    <n v="3603"/>
    <n v="3485.9611033224101"/>
    <n v="3411.7517602470198"/>
    <s v="NA"/>
    <s v="NA"/>
    <s v="NA"/>
    <s v="NA"/>
    <n v="3408"/>
    <n v="3248"/>
    <n v="3312"/>
    <n v="3457"/>
    <n v="3470"/>
    <n v="3334"/>
    <n v="4014"/>
    <n v="3537"/>
    <n v="3954"/>
    <n v="3943"/>
    <n v="4296"/>
    <n v="4264"/>
    <n v="3515.9123624163999"/>
    <n v="3493"/>
    <n v="4226"/>
    <n v="3369"/>
    <n v="4192"/>
    <n v="4291"/>
    <n v="4324"/>
    <n v="4310"/>
    <n v="3576.19727409698"/>
    <n v="3594"/>
    <n v="4204"/>
    <n v="3429"/>
    <n v="2963"/>
    <n v="4228"/>
    <n v="3875"/>
    <n v="3656"/>
    <n v="3454"/>
    <n v="2981"/>
    <n v="3441"/>
    <n v="3132"/>
    <n v="3310.6186935045898"/>
    <n v="3286.22173555573"/>
    <n v="3300.4321613164102"/>
    <n v="2905.0804179739598"/>
    <n v="3202.30742486298"/>
    <n v="3646"/>
    <n v="3542"/>
    <n v="3622"/>
    <n v="3803"/>
    <n v="4168"/>
    <n v="4137"/>
    <n v="3236.75677024994"/>
    <n v="3342"/>
    <n v="3630"/>
    <n v="3379"/>
    <n v="3628"/>
    <n v="3577"/>
    <n v="3487"/>
    <n v="3524"/>
    <n v="3317.2389098855101"/>
    <n v="3304"/>
    <n v="3427"/>
    <n v="3240"/>
    <n v="3065"/>
    <n v="3706"/>
    <n v="3416"/>
    <n v="3184"/>
    <n v="3115"/>
    <n v="2815"/>
    <n v="3224"/>
    <n v="2839"/>
    <n v="3455"/>
    <n v="3484"/>
    <n v="3505"/>
    <n v="3376.5053730643299"/>
  </r>
  <r>
    <s v="M9"/>
    <d v="2015-02-22T00:00:00"/>
    <x v="91"/>
    <s v="NA"/>
    <n v="3312"/>
    <n v="3236"/>
    <n v="3386"/>
    <n v="3581"/>
    <n v="3275.7189075587298"/>
    <n v="3364.5758072508502"/>
    <s v="NA"/>
    <s v="NA"/>
    <s v="NA"/>
    <s v="NA"/>
    <n v="3348"/>
    <n v="3192"/>
    <n v="3228"/>
    <n v="3366"/>
    <n v="3376"/>
    <n v="3302"/>
    <n v="4014"/>
    <n v="3537"/>
    <n v="3954"/>
    <n v="3943"/>
    <n v="4296"/>
    <n v="4264"/>
    <n v="3463.5579960967002"/>
    <n v="3444"/>
    <n v="4225"/>
    <n v="3367"/>
    <n v="4192"/>
    <n v="4290"/>
    <n v="4324"/>
    <n v="4310"/>
    <n v="3559.1786343531599"/>
    <n v="3576"/>
    <n v="4204"/>
    <n v="3385"/>
    <n v="2935"/>
    <n v="4228"/>
    <n v="3868"/>
    <n v="3641"/>
    <n v="3330"/>
    <n v="2888"/>
    <n v="3321"/>
    <n v="3033"/>
    <n v="3226.6186935045898"/>
    <n v="3202.22173555573"/>
    <n v="3216.4321613164102"/>
    <n v="2905.0804179739598"/>
    <n v="3202.30742486298"/>
    <n v="3646"/>
    <n v="3542"/>
    <n v="3622"/>
    <n v="3803"/>
    <n v="4168"/>
    <n v="4137"/>
    <n v="3187.4074111848499"/>
    <n v="3301"/>
    <n v="3626"/>
    <n v="3377"/>
    <n v="3624"/>
    <n v="3575"/>
    <n v="3484"/>
    <n v="3521"/>
    <n v="3279.0230307442998"/>
    <n v="3276"/>
    <n v="3427"/>
    <n v="3208"/>
    <n v="3036"/>
    <n v="3706"/>
    <n v="3392"/>
    <n v="3166"/>
    <n v="3003"/>
    <n v="2727"/>
    <n v="3111"/>
    <n v="2749"/>
    <n v="3371"/>
    <n v="3400"/>
    <n v="3421"/>
    <n v="3376.5053730643299"/>
  </r>
  <r>
    <s v="M9"/>
    <d v="2015-02-22T00:00:00"/>
    <x v="92"/>
    <s v="NA"/>
    <n v="3229"/>
    <n v="3246"/>
    <n v="3354"/>
    <n v="3456"/>
    <n v="3229.9981978442102"/>
    <n v="3382.7325918546298"/>
    <s v="NA"/>
    <s v="NA"/>
    <s v="NA"/>
    <s v="NA"/>
    <n v="3314"/>
    <n v="3159"/>
    <n v="3163"/>
    <n v="3311"/>
    <n v="3314"/>
    <n v="3252"/>
    <n v="3929"/>
    <n v="3538"/>
    <n v="3814"/>
    <n v="3930"/>
    <n v="4317"/>
    <n v="4294"/>
    <n v="3387.3831158481598"/>
    <n v="3381"/>
    <n v="3935"/>
    <n v="3354"/>
    <n v="3886"/>
    <n v="4176"/>
    <n v="4341"/>
    <n v="4299"/>
    <n v="3407.3752456453799"/>
    <n v="3408"/>
    <n v="4132"/>
    <n v="3389"/>
    <n v="2905"/>
    <n v="4163"/>
    <n v="3795"/>
    <n v="3580"/>
    <n v="3235"/>
    <n v="2839"/>
    <n v="3162"/>
    <n v="2976"/>
    <n v="3130.40667513782"/>
    <n v="3125.29495624419"/>
    <n v="3117.4753714798399"/>
    <n v="2938.7673448034502"/>
    <n v="3162.5332364068499"/>
    <n v="3677"/>
    <n v="3548"/>
    <n v="3668"/>
    <n v="3746"/>
    <n v="4008"/>
    <n v="4005"/>
    <n v="3248.4992749089702"/>
    <n v="3387"/>
    <n v="3628"/>
    <n v="3356"/>
    <n v="3643"/>
    <n v="3596"/>
    <n v="3552"/>
    <n v="3555"/>
    <n v="3279.3278765629002"/>
    <n v="3277"/>
    <n v="3833"/>
    <n v="3246"/>
    <n v="3018"/>
    <n v="3861"/>
    <n v="3420"/>
    <n v="3131"/>
    <n v="2946"/>
    <n v="2684"/>
    <n v="3071"/>
    <n v="2696"/>
    <n v="3304"/>
    <n v="3312"/>
    <n v="3345"/>
    <n v="3370.59671725933"/>
  </r>
  <r>
    <s v="M9"/>
    <d v="2015-02-22T00:00:00"/>
    <x v="93"/>
    <s v="NA"/>
    <n v="3210"/>
    <n v="3187"/>
    <n v="3277"/>
    <n v="3444"/>
    <n v="3209.41818719194"/>
    <n v="3302.5945287108302"/>
    <s v="NA"/>
    <s v="NA"/>
    <s v="NA"/>
    <s v="NA"/>
    <n v="3281"/>
    <n v="3125"/>
    <n v="3137"/>
    <n v="3279"/>
    <n v="3284"/>
    <n v="3147"/>
    <n v="3929"/>
    <n v="3538"/>
    <n v="3814"/>
    <n v="3930"/>
    <n v="4317"/>
    <n v="4294"/>
    <n v="3387.3831158481598"/>
    <n v="3381"/>
    <n v="3935"/>
    <n v="3353"/>
    <n v="3886"/>
    <n v="4176"/>
    <n v="4341"/>
    <n v="4299"/>
    <n v="3402.6853563609998"/>
    <n v="3406"/>
    <n v="4132"/>
    <n v="3389"/>
    <n v="2905"/>
    <n v="4163"/>
    <n v="3794"/>
    <n v="3581"/>
    <n v="3208"/>
    <n v="2812"/>
    <n v="3135"/>
    <n v="2947"/>
    <n v="3104.40667513782"/>
    <n v="3099.29495624419"/>
    <n v="3091.4753714798399"/>
    <n v="2938.7673448034502"/>
    <n v="3162.5332364068499"/>
    <n v="3677"/>
    <n v="3548"/>
    <n v="3668"/>
    <n v="3746"/>
    <n v="4008"/>
    <n v="4005"/>
    <n v="3239.6797147341299"/>
    <n v="3387"/>
    <n v="3626"/>
    <n v="3353"/>
    <n v="3642"/>
    <n v="3595"/>
    <n v="3551"/>
    <n v="3554"/>
    <n v="3274.4688203157498"/>
    <n v="3275"/>
    <n v="3833"/>
    <n v="3246"/>
    <n v="3018"/>
    <n v="3861"/>
    <n v="3417"/>
    <n v="3132"/>
    <n v="2921"/>
    <n v="2659"/>
    <n v="3044"/>
    <n v="2669"/>
    <n v="3278"/>
    <n v="3286"/>
    <n v="3319"/>
    <n v="3370.59671725933"/>
  </r>
  <r>
    <s v="M9"/>
    <d v="2015-02-22T00:00:00"/>
    <x v="94"/>
    <s v="NA"/>
    <n v="3129"/>
    <n v="3125"/>
    <n v="3200"/>
    <n v="3443"/>
    <n v="3155.1407541818298"/>
    <n v="3291.5257038985501"/>
    <s v="NA"/>
    <s v="NA"/>
    <s v="NA"/>
    <s v="NA"/>
    <n v="3227"/>
    <n v="3074"/>
    <n v="3042"/>
    <n v="3208"/>
    <n v="3213"/>
    <n v="3122"/>
    <n v="3929"/>
    <n v="3538"/>
    <n v="3814"/>
    <n v="3930"/>
    <n v="4317"/>
    <n v="4294"/>
    <n v="3391.3376667554198"/>
    <n v="3375"/>
    <n v="3935"/>
    <n v="3348"/>
    <n v="3885"/>
    <n v="4175"/>
    <n v="4341"/>
    <n v="4299"/>
    <n v="3390.7042015091101"/>
    <n v="3396"/>
    <n v="4132"/>
    <n v="3378"/>
    <n v="2913"/>
    <n v="4163"/>
    <n v="3788"/>
    <n v="3576"/>
    <n v="3132"/>
    <n v="2762"/>
    <n v="3060"/>
    <n v="2894"/>
    <n v="3009.40667513782"/>
    <n v="3004.29495624419"/>
    <n v="2996.4753714798399"/>
    <n v="2938.7673448034502"/>
    <n v="3162.5332364068499"/>
    <n v="3677"/>
    <n v="3548"/>
    <n v="3668"/>
    <n v="3746"/>
    <n v="4008"/>
    <n v="4005"/>
    <n v="3246.3017649969001"/>
    <n v="3381"/>
    <n v="3624"/>
    <n v="3350"/>
    <n v="3639"/>
    <n v="3592"/>
    <n v="3548"/>
    <n v="3553"/>
    <n v="3263.9089737496201"/>
    <n v="3267"/>
    <n v="3833"/>
    <n v="3236"/>
    <n v="3026"/>
    <n v="3861"/>
    <n v="3398"/>
    <n v="3127"/>
    <n v="2852"/>
    <n v="2612"/>
    <n v="2971"/>
    <n v="2621"/>
    <n v="3183"/>
    <n v="3191"/>
    <n v="3224"/>
    <n v="3370.59671725933"/>
  </r>
  <r>
    <s v="M9"/>
    <d v="2015-02-22T00:00:00"/>
    <x v="95"/>
    <s v="NA"/>
    <n v="3132"/>
    <n v="3087"/>
    <n v="3197"/>
    <n v="3402"/>
    <n v="3146.2346193113199"/>
    <n v="3262.8800446827499"/>
    <s v="NA"/>
    <s v="NA"/>
    <s v="NA"/>
    <s v="NA"/>
    <n v="3208"/>
    <n v="3052"/>
    <n v="3046"/>
    <n v="3200"/>
    <n v="3207"/>
    <n v="3092"/>
    <n v="3929"/>
    <n v="3538"/>
    <n v="3814"/>
    <n v="3930"/>
    <n v="4317"/>
    <n v="4294"/>
    <n v="3391.3376667554198"/>
    <n v="3370"/>
    <n v="3935"/>
    <n v="3344"/>
    <n v="3885"/>
    <n v="4175"/>
    <n v="4341"/>
    <n v="4299"/>
    <n v="3388.3007139205001"/>
    <n v="3395"/>
    <n v="4132"/>
    <n v="3378"/>
    <n v="2913"/>
    <n v="4163"/>
    <n v="3788"/>
    <n v="3574"/>
    <n v="3142"/>
    <n v="2760"/>
    <n v="3067"/>
    <n v="2891"/>
    <n v="3013.40667513782"/>
    <n v="3008.29495624419"/>
    <n v="3000.4753714798399"/>
    <n v="2938.7673448034502"/>
    <n v="3162.5332364068499"/>
    <n v="3677"/>
    <n v="3548"/>
    <n v="3668"/>
    <n v="3746"/>
    <n v="4008"/>
    <n v="4005"/>
    <n v="3246.3017649969001"/>
    <n v="3376"/>
    <n v="3624"/>
    <n v="3345"/>
    <n v="3639"/>
    <n v="3592"/>
    <n v="3547"/>
    <n v="3553"/>
    <n v="3262.5769034412901"/>
    <n v="3267"/>
    <n v="3833"/>
    <n v="3236"/>
    <n v="3026"/>
    <n v="3861"/>
    <n v="3398"/>
    <n v="3121"/>
    <n v="2861"/>
    <n v="2610"/>
    <n v="2978"/>
    <n v="2618"/>
    <n v="3187"/>
    <n v="3195"/>
    <n v="3228"/>
    <n v="3370.596717259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showCalcMbrs="0" useAutoFormatting="1" rowGrandTotals="0" colGrandTotals="0" itemPrintTitles="1" createdVersion="3" indent="0" outline="1" outlineData="1" multipleFieldFilters="0" chartFormat="1">
  <location ref="CJ3:CP100" firstHeaderRow="1" firstDataRow="2" firstDataCol="1"/>
  <pivotFields count="81">
    <pivotField showAll="0" defaultSubtotal="0"/>
    <pivotField numFmtId="14" showAll="0" defaultSubtotal="0"/>
    <pivotField axis="axisRow" showAll="0" defaultSubtotal="0">
      <items count="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</pivotField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Final" fld="8" baseField="0" baseItem="0"/>
    <dataField name="Sum of ANN_AW_Rules" fld="49" baseField="0" baseItem="0"/>
    <dataField name="Sum of X2arfima2" fld="18" baseField="0" baseItem="0"/>
    <dataField name="Sum of 21-Feb" fld="3" baseField="0" baseItem="0"/>
    <dataField name="Sum of &quot;Combination&quot;" fld="9" baseField="0" baseItem="0"/>
    <dataField name="Sum of 19-Feb" fld="5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7" cacheId="2" dataOnRows="1" applyNumberFormats="0" applyBorderFormats="0" applyFontFormats="0" applyPatternFormats="0" applyAlignmentFormats="0" applyWidthHeightFormats="1" dataCaption="Values" updatedVersion="5" minRefreshableVersion="3" showCalcMbrs="0" useAutoFormatting="1" rowGrandTotals="0" colGrandTotals="0" itemPrintTitles="1" createdVersion="3" indent="0" outline="1" outlineData="1" multipleFieldFilters="0" chartFormat="2">
  <location ref="L4:M19" firstHeaderRow="1" firstDataRow="1" firstDataCol="1" rowPageCount="1" colPageCount="1"/>
  <pivotFields count="6">
    <pivotField axis="axisRow" numFmtId="14" showAll="0" sortType="ascending">
      <items count="57">
        <item m="1" x="4"/>
        <item m="1" x="18"/>
        <item m="1" x="44"/>
        <item m="1" x="16"/>
        <item m="1" x="38"/>
        <item m="1" x="14"/>
        <item m="1" x="6"/>
        <item m="1" x="28"/>
        <item m="1" x="48"/>
        <item m="1" x="20"/>
        <item m="1" x="40"/>
        <item m="1" x="11"/>
        <item m="1" x="33"/>
        <item m="1" x="54"/>
        <item m="1" x="26"/>
        <item m="1" x="46"/>
        <item m="1" x="17"/>
        <item m="1" x="39"/>
        <item m="1" x="9"/>
        <item m="1" x="31"/>
        <item m="1" x="51"/>
        <item m="1" x="23"/>
        <item m="1" x="43"/>
        <item m="1" x="15"/>
        <item m="1" x="37"/>
        <item m="1" x="8"/>
        <item m="1" x="30"/>
        <item m="1" x="50"/>
        <item m="1" x="22"/>
        <item m="1" x="42"/>
        <item m="1" x="13"/>
        <item m="1" x="35"/>
        <item m="1" x="5"/>
        <item m="1" x="53"/>
        <item m="1" x="25"/>
        <item m="1" x="36"/>
        <item m="1" x="7"/>
        <item m="1" x="29"/>
        <item m="1" x="49"/>
        <item m="1" x="21"/>
        <item m="1" x="41"/>
        <item m="1" x="12"/>
        <item m="1" x="34"/>
        <item m="1" x="55"/>
        <item m="1" x="27"/>
        <item m="1" x="47"/>
        <item m="1" x="19"/>
        <item m="1" x="10"/>
        <item m="1" x="32"/>
        <item m="1" x="52"/>
        <item m="1" x="24"/>
        <item m="1" x="45"/>
        <item x="3"/>
        <item x="1"/>
        <item x="0"/>
        <item x="2"/>
        <item t="default"/>
      </items>
    </pivotField>
    <pivotField dataField="1" showAll="0"/>
    <pivotField dataField="1" showAll="0"/>
    <pivotField dataField="1" showAll="0"/>
    <pivotField axis="axisPage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</pivotFields>
  <rowFields count="2">
    <field x="-2"/>
    <field x="0"/>
  </rowFields>
  <rowItems count="15">
    <i>
      <x/>
    </i>
    <i r="1">
      <x v="52"/>
    </i>
    <i r="1">
      <x v="53"/>
    </i>
    <i r="1">
      <x v="54"/>
    </i>
    <i r="1">
      <x v="55"/>
    </i>
    <i i="1">
      <x v="1"/>
    </i>
    <i r="1" i="1">
      <x v="52"/>
    </i>
    <i r="1" i="1">
      <x v="53"/>
    </i>
    <i r="1" i="1">
      <x v="54"/>
    </i>
    <i r="1" i="1">
      <x v="55"/>
    </i>
    <i i="2">
      <x v="2"/>
    </i>
    <i r="1" i="2">
      <x v="52"/>
    </i>
    <i r="1" i="2">
      <x v="53"/>
    </i>
    <i r="1" i="2">
      <x v="54"/>
    </i>
    <i r="1" i="2">
      <x v="55"/>
    </i>
  </rowItems>
  <colItems count="1">
    <i/>
  </colItems>
  <pageFields count="1">
    <pageField fld="4" item="1" hier="-1"/>
  </pageFields>
  <dataFields count="3">
    <dataField name="Average of Temperature" fld="1" subtotal="average" baseField="0" baseItem="0"/>
    <dataField name="Average of Humidity" fld="2" subtotal="average" baseField="0" baseItem="0"/>
    <dataField name="Average of CC" fld="3" subtotal="average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dataOnRows="1" applyNumberFormats="0" applyBorderFormats="0" applyFontFormats="0" applyPatternFormats="0" applyAlignmentFormats="0" applyWidthHeightFormats="1" dataCaption="Values" updatedVersion="5" minRefreshableVersion="3" showCalcMbrs="0" useAutoFormatting="1" rowGrandTotals="0" colGrandTotals="0" itemPrintTitles="1" createdVersion="3" indent="0" outline="1" outlineData="1" multipleFieldFilters="0" chartFormat="1">
  <location ref="L24:M39" firstHeaderRow="1" firstDataRow="1" firstDataCol="1" rowPageCount="1" colPageCount="1"/>
  <pivotFields count="6">
    <pivotField axis="axisRow" numFmtId="14" showAll="0" sortType="ascending">
      <items count="20">
        <item m="1" x="13"/>
        <item m="1" x="4"/>
        <item m="1" x="10"/>
        <item m="1" x="16"/>
        <item m="1" x="8"/>
        <item m="1" x="14"/>
        <item m="1" x="6"/>
        <item m="1" x="12"/>
        <item m="1" x="18"/>
        <item m="1" x="9"/>
        <item m="1" x="15"/>
        <item m="1" x="7"/>
        <item m="1" x="5"/>
        <item m="1" x="11"/>
        <item m="1" x="17"/>
        <item x="3"/>
        <item x="1"/>
        <item x="0"/>
        <item x="2"/>
        <item t="default"/>
      </items>
    </pivotField>
    <pivotField dataField="1" showAll="0"/>
    <pivotField dataField="1" showAll="0"/>
    <pivotField dataField="1" showAll="0"/>
    <pivotField axis="axisPage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</pivotFields>
  <rowFields count="2">
    <field x="-2"/>
    <field x="0"/>
  </rowFields>
  <rowItems count="15">
    <i>
      <x/>
    </i>
    <i r="1">
      <x v="15"/>
    </i>
    <i r="1">
      <x v="16"/>
    </i>
    <i r="1">
      <x v="17"/>
    </i>
    <i r="1">
      <x v="18"/>
    </i>
    <i i="1">
      <x v="1"/>
    </i>
    <i r="1" i="1">
      <x v="15"/>
    </i>
    <i r="1" i="1">
      <x v="16"/>
    </i>
    <i r="1" i="1">
      <x v="17"/>
    </i>
    <i r="1" i="1">
      <x v="18"/>
    </i>
    <i i="2">
      <x v="2"/>
    </i>
    <i r="1" i="2">
      <x v="15"/>
    </i>
    <i r="1" i="2">
      <x v="16"/>
    </i>
    <i r="1" i="2">
      <x v="17"/>
    </i>
    <i r="1" i="2">
      <x v="18"/>
    </i>
  </rowItems>
  <colItems count="1">
    <i/>
  </colItems>
  <pageFields count="1">
    <pageField fld="4" item="9" hier="-1"/>
  </pageFields>
  <dataFields count="3">
    <dataField name="Average of Temperature" fld="1" subtotal="average" baseField="0" baseItem="0"/>
    <dataField name="Average of Humidity" fld="2" subtotal="average" baseField="0" baseItem="0"/>
    <dataField name="Average of CC" fld="3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 chartFormat="3">
  <location ref="O3:U100" firstHeaderRow="1" firstDataRow="2" firstDataCol="1" rowPageCount="1" colPageCount="1"/>
  <pivotFields count="8">
    <pivotField axis="axisPage" showAll="0">
      <items count="5">
        <item x="0"/>
        <item x="1"/>
        <item x="2"/>
        <item x="3"/>
        <item t="default"/>
      </items>
    </pivotField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item="0" hier="-1"/>
  </pageFields>
  <dataFields count="6">
    <dataField name="Sum of Actual.Last.Day" fld="7" baseField="0" baseItem="0"/>
    <dataField name="Sum of HW" fld="2" baseField="0" baseItem="0"/>
    <dataField name="Sum of Arfima2" fld="6" baseField="0" baseItem="0"/>
    <dataField name="Sum of Arfima1" fld="5" baseField="0" baseItem="0"/>
    <dataField name="Sum of FF1" fld="3" baseField="0" baseItem="0"/>
    <dataField name="Sum of SVM" fld="4" baseField="0" baseItem="0"/>
  </dataFields>
  <chartFormats count="6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23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27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2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5" Type="http://schemas.openxmlformats.org/officeDocument/2006/relationships/control" Target="../activeX/activeX27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24.xml"/><Relationship Id="rId14" Type="http://schemas.openxmlformats.org/officeDocument/2006/relationships/image" Target="../media/image2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vmlDrawing" Target="../drawings/vmlDrawing3.vml"/><Relationship Id="rId10" Type="http://schemas.openxmlformats.org/officeDocument/2006/relationships/control" Target="../activeX/activeX30.xml"/><Relationship Id="rId4" Type="http://schemas.openxmlformats.org/officeDocument/2006/relationships/drawing" Target="../drawings/drawing3.xml"/><Relationship Id="rId9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"/>
  <sheetViews>
    <sheetView showGridLines="0" zoomScale="80" zoomScaleNormal="80" workbookViewId="0">
      <selection activeCell="I36" sqref="I36"/>
    </sheetView>
  </sheetViews>
  <sheetFormatPr defaultRowHeight="15" x14ac:dyDescent="0.25"/>
  <cols>
    <col min="2" max="2" width="22.42578125" bestFit="1" customWidth="1"/>
    <col min="3" max="3" width="10.7109375" bestFit="1" customWidth="1"/>
    <col min="4" max="4" width="12.42578125" bestFit="1" customWidth="1"/>
    <col min="7" max="7" width="9.28515625" bestFit="1" customWidth="1"/>
  </cols>
  <sheetData>
    <row r="1" spans="1:41" ht="15.75" thickBot="1" x14ac:dyDescent="0.3">
      <c r="B1" t="s">
        <v>0</v>
      </c>
      <c r="C1" s="2">
        <f ca="1">TODAY()-1</f>
        <v>42058</v>
      </c>
      <c r="D1" t="s">
        <v>505</v>
      </c>
      <c r="E1" s="16" t="s">
        <v>506</v>
      </c>
    </row>
    <row r="2" spans="1:41" x14ac:dyDescent="0.25">
      <c r="A2" s="17" t="s">
        <v>197</v>
      </c>
      <c r="B2" s="17"/>
      <c r="C2" s="17"/>
    </row>
    <row r="4" spans="1:41" x14ac:dyDescent="0.25">
      <c r="AO4" s="1" t="s">
        <v>514</v>
      </c>
    </row>
    <row r="5" spans="1:41" x14ac:dyDescent="0.25">
      <c r="A5" s="14" t="s">
        <v>199</v>
      </c>
      <c r="D5" s="1"/>
      <c r="E5" s="14" t="s">
        <v>200</v>
      </c>
      <c r="F5" s="1"/>
      <c r="G5" s="9"/>
      <c r="I5" s="14" t="s">
        <v>201</v>
      </c>
      <c r="AO5" t="s">
        <v>504</v>
      </c>
    </row>
    <row r="8" spans="1:41" x14ac:dyDescent="0.25">
      <c r="A8" s="10"/>
      <c r="B8" s="11"/>
    </row>
    <row r="9" spans="1:41" x14ac:dyDescent="0.25">
      <c r="A9" s="10"/>
      <c r="B9" s="12"/>
    </row>
    <row r="13" spans="1:41" x14ac:dyDescent="0.25">
      <c r="A13" s="15"/>
    </row>
    <row r="20" spans="1:1" x14ac:dyDescent="0.25">
      <c r="A20" s="14" t="s">
        <v>202</v>
      </c>
    </row>
  </sheetData>
  <mergeCells count="1">
    <mergeCell ref="A2:C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mandButton21">
          <controlPr defaultSize="0" autoLine="0" autoPict="0" r:id="rId5">
            <anchor moveWithCells="1">
              <from>
                <xdr:col>8</xdr:col>
                <xdr:colOff>314325</xdr:colOff>
                <xdr:row>14</xdr:row>
                <xdr:rowOff>152400</xdr:rowOff>
              </from>
              <to>
                <xdr:col>11</xdr:col>
                <xdr:colOff>190500</xdr:colOff>
                <xdr:row>17</xdr:row>
                <xdr:rowOff>57150</xdr:rowOff>
              </to>
            </anchor>
          </controlPr>
        </control>
      </mc:Choice>
      <mc:Fallback>
        <control shapeId="1050" r:id="rId4" name="CommandButton21"/>
      </mc:Fallback>
    </mc:AlternateContent>
    <mc:AlternateContent xmlns:mc="http://schemas.openxmlformats.org/markup-compatibility/2006">
      <mc:Choice Requires="x14">
        <control shapeId="1047" r:id="rId6" name="CommandButton19">
          <controlPr defaultSize="0" autoLine="0" r:id="rId7">
            <anchor moveWithCells="1">
              <from>
                <xdr:col>13</xdr:col>
                <xdr:colOff>114300</xdr:colOff>
                <xdr:row>17</xdr:row>
                <xdr:rowOff>19050</xdr:rowOff>
              </from>
              <to>
                <xdr:col>16</xdr:col>
                <xdr:colOff>409575</xdr:colOff>
                <xdr:row>19</xdr:row>
                <xdr:rowOff>142875</xdr:rowOff>
              </to>
            </anchor>
          </controlPr>
        </control>
      </mc:Choice>
      <mc:Fallback>
        <control shapeId="1047" r:id="rId6" name="CommandButton19"/>
      </mc:Fallback>
    </mc:AlternateContent>
    <mc:AlternateContent xmlns:mc="http://schemas.openxmlformats.org/markup-compatibility/2006">
      <mc:Choice Requires="x14">
        <control shapeId="1046" r:id="rId8" name="CommandButton18">
          <controlPr defaultSize="0" autoLine="0" r:id="rId9">
            <anchor moveWithCells="1">
              <from>
                <xdr:col>13</xdr:col>
                <xdr:colOff>9525</xdr:colOff>
                <xdr:row>9</xdr:row>
                <xdr:rowOff>180975</xdr:rowOff>
              </from>
              <to>
                <xdr:col>16</xdr:col>
                <xdr:colOff>447675</xdr:colOff>
                <xdr:row>12</xdr:row>
                <xdr:rowOff>0</xdr:rowOff>
              </to>
            </anchor>
          </controlPr>
        </control>
      </mc:Choice>
      <mc:Fallback>
        <control shapeId="1046" r:id="rId8" name="CommandButton18"/>
      </mc:Fallback>
    </mc:AlternateContent>
    <mc:AlternateContent xmlns:mc="http://schemas.openxmlformats.org/markup-compatibility/2006">
      <mc:Choice Requires="x14">
        <control shapeId="1045" r:id="rId10" name="CommandButton17">
          <controlPr defaultSize="0" autoLine="0" r:id="rId11">
            <anchor moveWithCells="1">
              <from>
                <xdr:col>13</xdr:col>
                <xdr:colOff>0</xdr:colOff>
                <xdr:row>7</xdr:row>
                <xdr:rowOff>85725</xdr:rowOff>
              </from>
              <to>
                <xdr:col>16</xdr:col>
                <xdr:colOff>409575</xdr:colOff>
                <xdr:row>9</xdr:row>
                <xdr:rowOff>95250</xdr:rowOff>
              </to>
            </anchor>
          </controlPr>
        </control>
      </mc:Choice>
      <mc:Fallback>
        <control shapeId="1045" r:id="rId10" name="CommandButton17"/>
      </mc:Fallback>
    </mc:AlternateContent>
    <mc:AlternateContent xmlns:mc="http://schemas.openxmlformats.org/markup-compatibility/2006">
      <mc:Choice Requires="x14">
        <control shapeId="1043" r:id="rId12" name="CommandButton15">
          <controlPr defaultSize="0" autoLine="0" r:id="rId13">
            <anchor moveWithCells="1">
              <from>
                <xdr:col>4</xdr:col>
                <xdr:colOff>333375</xdr:colOff>
                <xdr:row>10</xdr:row>
                <xdr:rowOff>47625</xdr:rowOff>
              </from>
              <to>
                <xdr:col>6</xdr:col>
                <xdr:colOff>504825</xdr:colOff>
                <xdr:row>12</xdr:row>
                <xdr:rowOff>57150</xdr:rowOff>
              </to>
            </anchor>
          </controlPr>
        </control>
      </mc:Choice>
      <mc:Fallback>
        <control shapeId="1043" r:id="rId12" name="CommandButton15"/>
      </mc:Fallback>
    </mc:AlternateContent>
    <mc:AlternateContent xmlns:mc="http://schemas.openxmlformats.org/markup-compatibility/2006">
      <mc:Choice Requires="x14">
        <control shapeId="1034" r:id="rId14" name="CommandButton8">
          <controlPr defaultSize="0" autoLine="0" r:id="rId15">
            <anchor moveWithCells="1">
              <from>
                <xdr:col>24</xdr:col>
                <xdr:colOff>76200</xdr:colOff>
                <xdr:row>1</xdr:row>
                <xdr:rowOff>152400</xdr:rowOff>
              </from>
              <to>
                <xdr:col>26</xdr:col>
                <xdr:colOff>361950</xdr:colOff>
                <xdr:row>3</xdr:row>
                <xdr:rowOff>152400</xdr:rowOff>
              </to>
            </anchor>
          </controlPr>
        </control>
      </mc:Choice>
      <mc:Fallback>
        <control shapeId="1034" r:id="rId14" name="CommandButton8"/>
      </mc:Fallback>
    </mc:AlternateContent>
    <mc:AlternateContent xmlns:mc="http://schemas.openxmlformats.org/markup-compatibility/2006">
      <mc:Choice Requires="x14">
        <control shapeId="1033" r:id="rId16" name="CommandButton7">
          <controlPr defaultSize="0" autoLine="0" r:id="rId17">
            <anchor moveWithCells="1">
              <from>
                <xdr:col>1</xdr:col>
                <xdr:colOff>142875</xdr:colOff>
                <xdr:row>33</xdr:row>
                <xdr:rowOff>47625</xdr:rowOff>
              </from>
              <to>
                <xdr:col>2</xdr:col>
                <xdr:colOff>152400</xdr:colOff>
                <xdr:row>35</xdr:row>
                <xdr:rowOff>57150</xdr:rowOff>
              </to>
            </anchor>
          </controlPr>
        </control>
      </mc:Choice>
      <mc:Fallback>
        <control shapeId="1033" r:id="rId16" name="CommandButton7"/>
      </mc:Fallback>
    </mc:AlternateContent>
    <mc:AlternateContent xmlns:mc="http://schemas.openxmlformats.org/markup-compatibility/2006">
      <mc:Choice Requires="x14">
        <control shapeId="1031" r:id="rId18" name="CommandButton6">
          <controlPr defaultSize="0" autoLine="0" r:id="rId19">
            <anchor moveWithCells="1">
              <from>
                <xdr:col>1</xdr:col>
                <xdr:colOff>161925</xdr:colOff>
                <xdr:row>27</xdr:row>
                <xdr:rowOff>66675</xdr:rowOff>
              </from>
              <to>
                <xdr:col>2</xdr:col>
                <xdr:colOff>171450</xdr:colOff>
                <xdr:row>29</xdr:row>
                <xdr:rowOff>95250</xdr:rowOff>
              </to>
            </anchor>
          </controlPr>
        </control>
      </mc:Choice>
      <mc:Fallback>
        <control shapeId="1031" r:id="rId18" name="CommandButton6"/>
      </mc:Fallback>
    </mc:AlternateContent>
    <mc:AlternateContent xmlns:mc="http://schemas.openxmlformats.org/markup-compatibility/2006">
      <mc:Choice Requires="x14">
        <control shapeId="1026" r:id="rId20" name="CommandButton1">
          <controlPr defaultSize="0" autoLine="0" r:id="rId21">
            <anchor moveWithCells="1">
              <from>
                <xdr:col>1</xdr:col>
                <xdr:colOff>152400</xdr:colOff>
                <xdr:row>24</xdr:row>
                <xdr:rowOff>66675</xdr:rowOff>
              </from>
              <to>
                <xdr:col>2</xdr:col>
                <xdr:colOff>171450</xdr:colOff>
                <xdr:row>26</xdr:row>
                <xdr:rowOff>76200</xdr:rowOff>
              </to>
            </anchor>
          </controlPr>
        </control>
      </mc:Choice>
      <mc:Fallback>
        <control shapeId="1026" r:id="rId20" name="CommandButton1"/>
      </mc:Fallback>
    </mc:AlternateContent>
    <mc:AlternateContent xmlns:mc="http://schemas.openxmlformats.org/markup-compatibility/2006">
      <mc:Choice Requires="x14">
        <control shapeId="1025" r:id="rId22" name="UnivariateModel">
          <controlPr defaultSize="0" autoLine="0" r:id="rId23">
            <anchor moveWithCells="1">
              <from>
                <xdr:col>8</xdr:col>
                <xdr:colOff>314325</xdr:colOff>
                <xdr:row>7</xdr:row>
                <xdr:rowOff>142875</xdr:rowOff>
              </from>
              <to>
                <xdr:col>11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1025" r:id="rId22" name="UnivariateModel"/>
      </mc:Fallback>
    </mc:AlternateContent>
    <mc:AlternateContent xmlns:mc="http://schemas.openxmlformats.org/markup-compatibility/2006">
      <mc:Choice Requires="x14">
        <control shapeId="1028" r:id="rId24" name="CommandButton3">
          <controlPr defaultSize="0" autoLine="0" r:id="rId25">
            <anchor moveWithCells="1">
              <from>
                <xdr:col>1</xdr:col>
                <xdr:colOff>9525</xdr:colOff>
                <xdr:row>7</xdr:row>
                <xdr:rowOff>57150</xdr:rowOff>
              </from>
              <to>
                <xdr:col>2</xdr:col>
                <xdr:colOff>19050</xdr:colOff>
                <xdr:row>9</xdr:row>
                <xdr:rowOff>66675</xdr:rowOff>
              </to>
            </anchor>
          </controlPr>
        </control>
      </mc:Choice>
      <mc:Fallback>
        <control shapeId="1028" r:id="rId24" name="CommandButton3"/>
      </mc:Fallback>
    </mc:AlternateContent>
    <mc:AlternateContent xmlns:mc="http://schemas.openxmlformats.org/markup-compatibility/2006">
      <mc:Choice Requires="x14">
        <control shapeId="1029" r:id="rId26" name="CommandButton4">
          <controlPr defaultSize="0" autoLine="0" r:id="rId27">
            <anchor moveWithCells="1">
              <from>
                <xdr:col>44</xdr:col>
                <xdr:colOff>180975</xdr:colOff>
                <xdr:row>2</xdr:row>
                <xdr:rowOff>66675</xdr:rowOff>
              </from>
              <to>
                <xdr:col>46</xdr:col>
                <xdr:colOff>371475</xdr:colOff>
                <xdr:row>4</xdr:row>
                <xdr:rowOff>85725</xdr:rowOff>
              </to>
            </anchor>
          </controlPr>
        </control>
      </mc:Choice>
      <mc:Fallback>
        <control shapeId="1029" r:id="rId26" name="CommandButton4"/>
      </mc:Fallback>
    </mc:AlternateContent>
    <mc:AlternateContent xmlns:mc="http://schemas.openxmlformats.org/markup-compatibility/2006">
      <mc:Choice Requires="x14">
        <control shapeId="1030" r:id="rId28" name="CommandButton5">
          <controlPr defaultSize="0" autoLine="0" r:id="rId29">
            <anchor moveWithCells="1">
              <from>
                <xdr:col>1</xdr:col>
                <xdr:colOff>142875</xdr:colOff>
                <xdr:row>30</xdr:row>
                <xdr:rowOff>57150</xdr:rowOff>
              </from>
              <to>
                <xdr:col>2</xdr:col>
                <xdr:colOff>152400</xdr:colOff>
                <xdr:row>32</xdr:row>
                <xdr:rowOff>66675</xdr:rowOff>
              </to>
            </anchor>
          </controlPr>
        </control>
      </mc:Choice>
      <mc:Fallback>
        <control shapeId="1030" r:id="rId28" name="CommandButton5"/>
      </mc:Fallback>
    </mc:AlternateContent>
    <mc:AlternateContent xmlns:mc="http://schemas.openxmlformats.org/markup-compatibility/2006">
      <mc:Choice Requires="x14">
        <control shapeId="1036" r:id="rId30" name="CommandButton2">
          <controlPr defaultSize="0" autoLine="0" r:id="rId31">
            <anchor moveWithCells="1">
              <from>
                <xdr:col>3</xdr:col>
                <xdr:colOff>161925</xdr:colOff>
                <xdr:row>24</xdr:row>
                <xdr:rowOff>66675</xdr:rowOff>
              </from>
              <to>
                <xdr:col>5</xdr:col>
                <xdr:colOff>581025</xdr:colOff>
                <xdr:row>26</xdr:row>
                <xdr:rowOff>76200</xdr:rowOff>
              </to>
            </anchor>
          </controlPr>
        </control>
      </mc:Choice>
      <mc:Fallback>
        <control shapeId="1036" r:id="rId30" name="CommandButton2"/>
      </mc:Fallback>
    </mc:AlternateContent>
    <mc:AlternateContent xmlns:mc="http://schemas.openxmlformats.org/markup-compatibility/2006">
      <mc:Choice Requires="x14">
        <control shapeId="1037" r:id="rId32" name="CommandButton9">
          <controlPr defaultSize="0" autoLine="0" r:id="rId33">
            <anchor moveWithCells="1">
              <from>
                <xdr:col>3</xdr:col>
                <xdr:colOff>180975</xdr:colOff>
                <xdr:row>27</xdr:row>
                <xdr:rowOff>85725</xdr:rowOff>
              </from>
              <to>
                <xdr:col>5</xdr:col>
                <xdr:colOff>590550</xdr:colOff>
                <xdr:row>29</xdr:row>
                <xdr:rowOff>95250</xdr:rowOff>
              </to>
            </anchor>
          </controlPr>
        </control>
      </mc:Choice>
      <mc:Fallback>
        <control shapeId="1037" r:id="rId32" name="CommandButton9"/>
      </mc:Fallback>
    </mc:AlternateContent>
    <mc:AlternateContent xmlns:mc="http://schemas.openxmlformats.org/markup-compatibility/2006">
      <mc:Choice Requires="x14">
        <control shapeId="1038" r:id="rId34" name="CommandButton10">
          <controlPr defaultSize="0" autoLine="0" r:id="rId35">
            <anchor moveWithCells="1">
              <from>
                <xdr:col>3</xdr:col>
                <xdr:colOff>190500</xdr:colOff>
                <xdr:row>30</xdr:row>
                <xdr:rowOff>57150</xdr:rowOff>
              </from>
              <to>
                <xdr:col>5</xdr:col>
                <xdr:colOff>590550</xdr:colOff>
                <xdr:row>32</xdr:row>
                <xdr:rowOff>66675</xdr:rowOff>
              </to>
            </anchor>
          </controlPr>
        </control>
      </mc:Choice>
      <mc:Fallback>
        <control shapeId="1038" r:id="rId34" name="CommandButton10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3</xdr:col>
                <xdr:colOff>209550</xdr:colOff>
                <xdr:row>33</xdr:row>
                <xdr:rowOff>47625</xdr:rowOff>
              </from>
              <to>
                <xdr:col>5</xdr:col>
                <xdr:colOff>600075</xdr:colOff>
                <xdr:row>35</xdr:row>
                <xdr:rowOff>57150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40" r:id="rId38" name="CommandButton12">
          <controlPr defaultSize="0" autoLine="0" r:id="rId39">
            <anchor moveWithCells="1">
              <from>
                <xdr:col>0</xdr:col>
                <xdr:colOff>600075</xdr:colOff>
                <xdr:row>12</xdr:row>
                <xdr:rowOff>95250</xdr:rowOff>
              </from>
              <to>
                <xdr:col>2</xdr:col>
                <xdr:colOff>0</xdr:colOff>
                <xdr:row>14</xdr:row>
                <xdr:rowOff>114300</xdr:rowOff>
              </to>
            </anchor>
          </controlPr>
        </control>
      </mc:Choice>
      <mc:Fallback>
        <control shapeId="1040" r:id="rId38" name="CommandButton12"/>
      </mc:Fallback>
    </mc:AlternateContent>
    <mc:AlternateContent xmlns:mc="http://schemas.openxmlformats.org/markup-compatibility/2006">
      <mc:Choice Requires="x14">
        <control shapeId="1041" r:id="rId40" name="CommandButton13">
          <controlPr defaultSize="0" autoLine="0" r:id="rId41">
            <anchor moveWithCells="1">
              <from>
                <xdr:col>1</xdr:col>
                <xdr:colOff>0</xdr:colOff>
                <xdr:row>15</xdr:row>
                <xdr:rowOff>57150</xdr:rowOff>
              </from>
              <to>
                <xdr:col>2</xdr:col>
                <xdr:colOff>9525</xdr:colOff>
                <xdr:row>17</xdr:row>
                <xdr:rowOff>76200</xdr:rowOff>
              </to>
            </anchor>
          </controlPr>
        </control>
      </mc:Choice>
      <mc:Fallback>
        <control shapeId="1041" r:id="rId40" name="CommandButton13"/>
      </mc:Fallback>
    </mc:AlternateContent>
    <mc:AlternateContent xmlns:mc="http://schemas.openxmlformats.org/markup-compatibility/2006">
      <mc:Choice Requires="x14">
        <control shapeId="1042" r:id="rId42" name="CommandButton14">
          <controlPr defaultSize="0" autoLine="0" r:id="rId43">
            <anchor moveWithCells="1">
              <from>
                <xdr:col>0</xdr:col>
                <xdr:colOff>590550</xdr:colOff>
                <xdr:row>9</xdr:row>
                <xdr:rowOff>180975</xdr:rowOff>
              </from>
              <to>
                <xdr:col>1</xdr:col>
                <xdr:colOff>1485900</xdr:colOff>
                <xdr:row>12</xdr:row>
                <xdr:rowOff>0</xdr:rowOff>
              </to>
            </anchor>
          </controlPr>
        </control>
      </mc:Choice>
      <mc:Fallback>
        <control shapeId="1042" r:id="rId42" name="CommandButton14"/>
      </mc:Fallback>
    </mc:AlternateContent>
    <mc:AlternateContent xmlns:mc="http://schemas.openxmlformats.org/markup-compatibility/2006">
      <mc:Choice Requires="x14">
        <control shapeId="1044" r:id="rId44" name="CommandButton16">
          <controlPr defaultSize="0" autoLine="0" r:id="rId45">
            <anchor moveWithCells="1">
              <from>
                <xdr:col>4</xdr:col>
                <xdr:colOff>247650</xdr:colOff>
                <xdr:row>14</xdr:row>
                <xdr:rowOff>28575</xdr:rowOff>
              </from>
              <to>
                <xdr:col>6</xdr:col>
                <xdr:colOff>600075</xdr:colOff>
                <xdr:row>16</xdr:row>
                <xdr:rowOff>57150</xdr:rowOff>
              </to>
            </anchor>
          </controlPr>
        </control>
      </mc:Choice>
      <mc:Fallback>
        <control shapeId="1044" r:id="rId44" name="CommandButton1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P100"/>
  <sheetViews>
    <sheetView showGridLines="0" tabSelected="1" topLeftCell="A69" zoomScaleNormal="100" workbookViewId="0">
      <selection activeCell="N2" sqref="N2:N97"/>
    </sheetView>
  </sheetViews>
  <sheetFormatPr defaultRowHeight="15" x14ac:dyDescent="0.25"/>
  <cols>
    <col min="3" max="3" width="10.7109375" bestFit="1" customWidth="1"/>
    <col min="4" max="4" width="9.7109375" bestFit="1" customWidth="1"/>
    <col min="5" max="5" width="9.85546875" bestFit="1" customWidth="1"/>
    <col min="6" max="6" width="10.5703125" bestFit="1" customWidth="1"/>
    <col min="12" max="12" width="12.85546875" bestFit="1" customWidth="1"/>
    <col min="14" max="14" width="12.42578125" bestFit="1" customWidth="1"/>
    <col min="51" max="51" width="13.140625" bestFit="1" customWidth="1"/>
    <col min="52" max="52" width="13.140625" customWidth="1"/>
    <col min="53" max="53" width="21.42578125" customWidth="1"/>
    <col min="54" max="54" width="14.85546875" bestFit="1" customWidth="1"/>
    <col min="55" max="55" width="20.140625" bestFit="1" customWidth="1"/>
    <col min="56" max="56" width="19.85546875" bestFit="1" customWidth="1"/>
    <col min="57" max="57" width="10.5703125" bestFit="1" customWidth="1"/>
    <col min="58" max="58" width="16.5703125" customWidth="1"/>
    <col min="59" max="60" width="11.85546875" customWidth="1"/>
    <col min="61" max="63" width="11.85546875" bestFit="1" customWidth="1"/>
    <col min="64" max="70" width="5" bestFit="1" customWidth="1"/>
    <col min="71" max="72" width="12" bestFit="1" customWidth="1"/>
    <col min="82" max="82" width="12.28515625" bestFit="1" customWidth="1"/>
    <col min="84" max="84" width="13.85546875" customWidth="1"/>
    <col min="85" max="85" width="14.85546875" customWidth="1"/>
    <col min="86" max="86" width="12" bestFit="1" customWidth="1"/>
    <col min="87" max="87" width="20.140625" customWidth="1"/>
    <col min="88" max="88" width="13.140625" customWidth="1"/>
    <col min="89" max="89" width="12" customWidth="1"/>
    <col min="90" max="90" width="22.28515625" customWidth="1"/>
    <col min="91" max="91" width="16.5703125" customWidth="1"/>
    <col min="92" max="92" width="13.7109375" customWidth="1"/>
    <col min="93" max="93" width="21.42578125" customWidth="1"/>
    <col min="94" max="94" width="13.7109375" customWidth="1"/>
    <col min="95" max="176" width="5.5703125" customWidth="1"/>
    <col min="177" max="177" width="14.140625" bestFit="1" customWidth="1"/>
    <col min="178" max="264" width="5.5703125" customWidth="1"/>
    <col min="265" max="276" width="12.42578125" bestFit="1" customWidth="1"/>
    <col min="277" max="277" width="10.28515625" bestFit="1" customWidth="1"/>
    <col min="278" max="295" width="12.42578125" bestFit="1" customWidth="1"/>
    <col min="296" max="296" width="11.28515625" bestFit="1" customWidth="1"/>
    <col min="297" max="301" width="12.42578125" bestFit="1" customWidth="1"/>
    <col min="302" max="302" width="11.28515625" bestFit="1" customWidth="1"/>
    <col min="303" max="309" width="12.42578125" bestFit="1" customWidth="1"/>
    <col min="310" max="310" width="11.28515625" bestFit="1" customWidth="1"/>
    <col min="311" max="325" width="12.42578125" bestFit="1" customWidth="1"/>
    <col min="326" max="326" width="11.28515625" bestFit="1" customWidth="1"/>
    <col min="327" max="340" width="12.42578125" bestFit="1" customWidth="1"/>
    <col min="341" max="341" width="11.28515625" bestFit="1" customWidth="1"/>
    <col min="342" max="351" width="12.42578125" bestFit="1" customWidth="1"/>
    <col min="352" max="352" width="11.28515625" bestFit="1" customWidth="1"/>
    <col min="353" max="372" width="12.42578125" bestFit="1" customWidth="1"/>
    <col min="373" max="373" width="10.28515625" bestFit="1" customWidth="1"/>
    <col min="374" max="376" width="12.42578125" bestFit="1" customWidth="1"/>
    <col min="377" max="377" width="13.7109375" bestFit="1" customWidth="1"/>
    <col min="378" max="391" width="12.42578125" bestFit="1" customWidth="1"/>
    <col min="392" max="392" width="11.28515625" bestFit="1" customWidth="1"/>
    <col min="393" max="397" width="12.42578125" bestFit="1" customWidth="1"/>
    <col min="398" max="398" width="12.28515625" bestFit="1" customWidth="1"/>
    <col min="399" max="405" width="12.42578125" bestFit="1" customWidth="1"/>
    <col min="406" max="406" width="11.28515625" bestFit="1" customWidth="1"/>
    <col min="407" max="421" width="12.42578125" bestFit="1" customWidth="1"/>
    <col min="422" max="422" width="11.28515625" bestFit="1" customWidth="1"/>
    <col min="423" max="436" width="12.42578125" bestFit="1" customWidth="1"/>
    <col min="437" max="437" width="11.28515625" bestFit="1" customWidth="1"/>
    <col min="438" max="447" width="12.42578125" bestFit="1" customWidth="1"/>
    <col min="448" max="448" width="11.28515625" bestFit="1" customWidth="1"/>
    <col min="449" max="468" width="12.42578125" bestFit="1" customWidth="1"/>
    <col min="469" max="469" width="10.28515625" bestFit="1" customWidth="1"/>
    <col min="470" max="472" width="12.42578125" bestFit="1" customWidth="1"/>
  </cols>
  <sheetData>
    <row r="1" spans="1:94" x14ac:dyDescent="0.25">
      <c r="A1" s="18" t="s">
        <v>203</v>
      </c>
      <c r="B1" s="18"/>
      <c r="C1" s="18"/>
      <c r="E1" t="s">
        <v>1</v>
      </c>
      <c r="F1" t="s">
        <v>2</v>
      </c>
      <c r="G1" t="s">
        <v>3</v>
      </c>
      <c r="H1" s="13">
        <v>42056</v>
      </c>
      <c r="I1" s="13">
        <v>42055</v>
      </c>
      <c r="J1" s="13">
        <v>42054</v>
      </c>
      <c r="K1" s="13">
        <v>42053</v>
      </c>
      <c r="L1" t="s">
        <v>512</v>
      </c>
      <c r="M1" t="s">
        <v>193</v>
      </c>
      <c r="N1" t="s">
        <v>508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15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18</v>
      </c>
      <c r="AO1" t="s">
        <v>14</v>
      </c>
      <c r="AP1" t="s">
        <v>156</v>
      </c>
      <c r="AQ1" t="s">
        <v>16</v>
      </c>
      <c r="AR1" t="s">
        <v>17</v>
      </c>
      <c r="AS1" t="s">
        <v>157</v>
      </c>
      <c r="AT1" t="s">
        <v>19</v>
      </c>
      <c r="AU1" t="s">
        <v>158</v>
      </c>
      <c r="AV1" t="s">
        <v>159</v>
      </c>
      <c r="AW1" t="s">
        <v>160</v>
      </c>
      <c r="AX1" t="s">
        <v>161</v>
      </c>
      <c r="AY1" t="s">
        <v>20</v>
      </c>
      <c r="AZ1" t="s">
        <v>21</v>
      </c>
      <c r="BA1" t="s">
        <v>22</v>
      </c>
      <c r="BB1" t="s">
        <v>23</v>
      </c>
      <c r="BC1" t="s">
        <v>24</v>
      </c>
      <c r="BD1" t="s">
        <v>162</v>
      </c>
      <c r="BE1" t="s">
        <v>163</v>
      </c>
      <c r="BF1" t="s">
        <v>164</v>
      </c>
      <c r="BG1" t="s">
        <v>165</v>
      </c>
      <c r="BH1" t="s">
        <v>166</v>
      </c>
      <c r="BI1" t="s">
        <v>167</v>
      </c>
      <c r="BJ1" t="s">
        <v>168</v>
      </c>
      <c r="BK1" t="s">
        <v>169</v>
      </c>
      <c r="BL1" t="s">
        <v>170</v>
      </c>
      <c r="BM1" t="s">
        <v>171</v>
      </c>
      <c r="BN1" t="s">
        <v>172</v>
      </c>
      <c r="BO1" t="s">
        <v>173</v>
      </c>
      <c r="BP1" t="s">
        <v>174</v>
      </c>
      <c r="BQ1" t="s">
        <v>175</v>
      </c>
      <c r="BR1" t="s">
        <v>176</v>
      </c>
      <c r="BS1" t="s">
        <v>177</v>
      </c>
      <c r="BT1" t="s">
        <v>178</v>
      </c>
      <c r="BU1" t="s">
        <v>179</v>
      </c>
      <c r="BV1" t="s">
        <v>180</v>
      </c>
      <c r="BW1" t="s">
        <v>181</v>
      </c>
      <c r="BX1" t="s">
        <v>182</v>
      </c>
      <c r="BY1" t="s">
        <v>183</v>
      </c>
      <c r="BZ1" t="s">
        <v>184</v>
      </c>
      <c r="CA1" t="s">
        <v>185</v>
      </c>
      <c r="CB1" t="s">
        <v>186</v>
      </c>
      <c r="CC1" t="s">
        <v>187</v>
      </c>
      <c r="CD1" t="s">
        <v>188</v>
      </c>
      <c r="CE1" t="s">
        <v>189</v>
      </c>
      <c r="CF1" t="s">
        <v>190</v>
      </c>
      <c r="CG1" t="s">
        <v>191</v>
      </c>
      <c r="CH1" t="s">
        <v>192</v>
      </c>
    </row>
    <row r="2" spans="1:94" x14ac:dyDescent="0.25">
      <c r="D2">
        <v>1</v>
      </c>
      <c r="E2" t="s">
        <v>25</v>
      </c>
      <c r="F2" s="3">
        <v>42057</v>
      </c>
      <c r="G2" t="s">
        <v>26</v>
      </c>
      <c r="H2">
        <v>2854</v>
      </c>
      <c r="I2">
        <v>2966</v>
      </c>
      <c r="J2">
        <v>3007</v>
      </c>
      <c r="K2">
        <v>3269</v>
      </c>
      <c r="L2">
        <v>3376</v>
      </c>
      <c r="M2">
        <v>2927</v>
      </c>
      <c r="N2">
        <v>3129.31846603141</v>
      </c>
      <c r="O2">
        <v>2978</v>
      </c>
      <c r="P2">
        <v>2939</v>
      </c>
      <c r="Q2">
        <v>2927</v>
      </c>
      <c r="R2">
        <v>3095</v>
      </c>
      <c r="S2">
        <v>2962</v>
      </c>
      <c r="T2">
        <v>2949</v>
      </c>
      <c r="U2">
        <v>3041</v>
      </c>
      <c r="V2">
        <v>3064</v>
      </c>
      <c r="W2">
        <v>3050</v>
      </c>
      <c r="X2">
        <v>3095</v>
      </c>
      <c r="Y2">
        <v>3144</v>
      </c>
      <c r="Z2">
        <v>3302</v>
      </c>
      <c r="AA2">
        <v>3138</v>
      </c>
      <c r="AB2">
        <v>3156</v>
      </c>
      <c r="AC2">
        <v>3233</v>
      </c>
      <c r="AD2">
        <v>3250</v>
      </c>
      <c r="AE2">
        <v>3005.04096615663</v>
      </c>
      <c r="AF2">
        <v>2944</v>
      </c>
      <c r="AG2">
        <v>3181</v>
      </c>
      <c r="AH2">
        <v>3063</v>
      </c>
      <c r="AI2">
        <v>3161</v>
      </c>
      <c r="AJ2">
        <v>3198</v>
      </c>
      <c r="AK2">
        <v>3229</v>
      </c>
      <c r="AL2">
        <v>3221</v>
      </c>
      <c r="AM2">
        <v>3025.9668575831602</v>
      </c>
      <c r="AN2">
        <v>3038</v>
      </c>
      <c r="AO2">
        <v>3658</v>
      </c>
      <c r="AP2">
        <v>3098</v>
      </c>
      <c r="AQ2">
        <v>2966</v>
      </c>
      <c r="AR2">
        <v>3863</v>
      </c>
      <c r="AS2">
        <v>3523</v>
      </c>
      <c r="AT2">
        <v>3204</v>
      </c>
      <c r="AU2">
        <v>2946</v>
      </c>
      <c r="AV2">
        <v>2753</v>
      </c>
      <c r="AW2">
        <v>3052</v>
      </c>
      <c r="AX2">
        <v>2717</v>
      </c>
      <c r="AY2">
        <v>3174.63700182191</v>
      </c>
      <c r="AZ2">
        <v>3165.5497140464499</v>
      </c>
      <c r="BA2">
        <v>3168.94510942327</v>
      </c>
      <c r="BB2">
        <v>3226.6072064587402</v>
      </c>
      <c r="BC2">
        <v>3022.4001022623202</v>
      </c>
      <c r="BD2">
        <v>3147</v>
      </c>
      <c r="BE2">
        <v>3300</v>
      </c>
      <c r="BF2">
        <v>3141</v>
      </c>
      <c r="BG2">
        <v>3161</v>
      </c>
      <c r="BH2">
        <v>3183</v>
      </c>
      <c r="BI2">
        <v>3188</v>
      </c>
      <c r="BJ2">
        <v>3008.06808317883</v>
      </c>
      <c r="BK2">
        <v>3023</v>
      </c>
      <c r="BL2">
        <v>3257</v>
      </c>
      <c r="BM2">
        <v>3059</v>
      </c>
      <c r="BN2">
        <v>3244</v>
      </c>
      <c r="BO2">
        <v>3241</v>
      </c>
      <c r="BP2">
        <v>3165</v>
      </c>
      <c r="BQ2">
        <v>3183</v>
      </c>
      <c r="BR2">
        <v>2953.7946281866002</v>
      </c>
      <c r="BS2">
        <v>2948</v>
      </c>
      <c r="BT2">
        <v>3643</v>
      </c>
      <c r="BU2">
        <v>2993</v>
      </c>
      <c r="BV2">
        <v>2977</v>
      </c>
      <c r="BW2">
        <v>3771</v>
      </c>
      <c r="BX2">
        <v>3221</v>
      </c>
      <c r="BY2">
        <v>2982</v>
      </c>
      <c r="BZ2">
        <v>2761</v>
      </c>
      <c r="CA2">
        <v>2623</v>
      </c>
      <c r="CB2">
        <v>2896</v>
      </c>
      <c r="CC2">
        <v>2597</v>
      </c>
      <c r="CD2">
        <v>3245</v>
      </c>
      <c r="CE2">
        <v>3245</v>
      </c>
      <c r="CF2">
        <v>3271</v>
      </c>
      <c r="CG2">
        <v>2857.9227533674398</v>
      </c>
      <c r="CH2">
        <v>2960.3975007702802</v>
      </c>
    </row>
    <row r="3" spans="1:94" x14ac:dyDescent="0.25">
      <c r="D3">
        <v>2</v>
      </c>
      <c r="E3" t="s">
        <v>25</v>
      </c>
      <c r="F3" s="3">
        <v>42057</v>
      </c>
      <c r="G3" t="s">
        <v>27</v>
      </c>
      <c r="H3">
        <v>2866</v>
      </c>
      <c r="I3">
        <v>3018</v>
      </c>
      <c r="J3">
        <v>3040</v>
      </c>
      <c r="K3">
        <v>3269</v>
      </c>
      <c r="L3">
        <v>3436</v>
      </c>
      <c r="M3">
        <v>2957</v>
      </c>
      <c r="N3">
        <v>3122.6867521124</v>
      </c>
      <c r="O3">
        <v>2999</v>
      </c>
      <c r="P3">
        <v>2957</v>
      </c>
      <c r="Q3">
        <v>2957</v>
      </c>
      <c r="R3">
        <v>2953</v>
      </c>
      <c r="S3">
        <v>2984</v>
      </c>
      <c r="T3">
        <v>2966</v>
      </c>
      <c r="U3">
        <v>3087</v>
      </c>
      <c r="V3">
        <v>3105</v>
      </c>
      <c r="W3">
        <v>3081</v>
      </c>
      <c r="X3">
        <v>3054</v>
      </c>
      <c r="Y3">
        <v>3144</v>
      </c>
      <c r="Z3">
        <v>3302</v>
      </c>
      <c r="AA3">
        <v>3138</v>
      </c>
      <c r="AB3">
        <v>3156</v>
      </c>
      <c r="AC3">
        <v>3233</v>
      </c>
      <c r="AD3">
        <v>3250</v>
      </c>
      <c r="AE3">
        <v>3005.04096615663</v>
      </c>
      <c r="AF3">
        <v>2944</v>
      </c>
      <c r="AG3">
        <v>3182</v>
      </c>
      <c r="AH3">
        <v>3064</v>
      </c>
      <c r="AI3">
        <v>3162</v>
      </c>
      <c r="AJ3">
        <v>3199</v>
      </c>
      <c r="AK3">
        <v>3231</v>
      </c>
      <c r="AL3">
        <v>3222</v>
      </c>
      <c r="AM3">
        <v>3027.1599864692998</v>
      </c>
      <c r="AN3">
        <v>3040</v>
      </c>
      <c r="AO3">
        <v>3658</v>
      </c>
      <c r="AP3">
        <v>3098</v>
      </c>
      <c r="AQ3">
        <v>2966</v>
      </c>
      <c r="AR3">
        <v>3863</v>
      </c>
      <c r="AS3">
        <v>3524</v>
      </c>
      <c r="AT3">
        <v>3208</v>
      </c>
      <c r="AU3">
        <v>2977</v>
      </c>
      <c r="AV3">
        <v>2769</v>
      </c>
      <c r="AW3">
        <v>3087</v>
      </c>
      <c r="AX3">
        <v>2730</v>
      </c>
      <c r="AY3">
        <v>3220.63700182191</v>
      </c>
      <c r="AZ3">
        <v>3211.5497140464499</v>
      </c>
      <c r="BA3">
        <v>3214.94510942327</v>
      </c>
      <c r="BB3">
        <v>3226.6072064587402</v>
      </c>
      <c r="BC3">
        <v>3022.4001022623202</v>
      </c>
      <c r="BD3">
        <v>3147</v>
      </c>
      <c r="BE3">
        <v>3300</v>
      </c>
      <c r="BF3">
        <v>3141</v>
      </c>
      <c r="BG3">
        <v>3161</v>
      </c>
      <c r="BH3">
        <v>3183</v>
      </c>
      <c r="BI3">
        <v>3188</v>
      </c>
      <c r="BJ3">
        <v>3008.06808317883</v>
      </c>
      <c r="BK3">
        <v>3023</v>
      </c>
      <c r="BL3">
        <v>3258</v>
      </c>
      <c r="BM3">
        <v>3058</v>
      </c>
      <c r="BN3">
        <v>3245</v>
      </c>
      <c r="BO3">
        <v>3242</v>
      </c>
      <c r="BP3">
        <v>3166</v>
      </c>
      <c r="BQ3">
        <v>3183</v>
      </c>
      <c r="BR3">
        <v>2954.3076282552101</v>
      </c>
      <c r="BS3">
        <v>2948</v>
      </c>
      <c r="BT3">
        <v>3643</v>
      </c>
      <c r="BU3">
        <v>2993</v>
      </c>
      <c r="BV3">
        <v>2977</v>
      </c>
      <c r="BW3">
        <v>3771</v>
      </c>
      <c r="BX3">
        <v>3222</v>
      </c>
      <c r="BY3">
        <v>2983</v>
      </c>
      <c r="BZ3">
        <v>2790</v>
      </c>
      <c r="CA3">
        <v>2638</v>
      </c>
      <c r="CB3">
        <v>2929</v>
      </c>
      <c r="CC3">
        <v>2609</v>
      </c>
      <c r="CD3">
        <v>3291</v>
      </c>
      <c r="CE3">
        <v>3291</v>
      </c>
      <c r="CF3">
        <v>3317</v>
      </c>
      <c r="CG3">
        <v>2857.9227533674398</v>
      </c>
      <c r="CH3">
        <v>2960.3975007702802</v>
      </c>
      <c r="CK3" s="4" t="s">
        <v>134</v>
      </c>
    </row>
    <row r="4" spans="1:94" x14ac:dyDescent="0.25">
      <c r="D4">
        <v>3</v>
      </c>
      <c r="E4" t="s">
        <v>25</v>
      </c>
      <c r="F4" s="3">
        <v>42057</v>
      </c>
      <c r="G4" t="s">
        <v>28</v>
      </c>
      <c r="H4">
        <v>2858</v>
      </c>
      <c r="I4">
        <v>2993</v>
      </c>
      <c r="J4">
        <v>3082</v>
      </c>
      <c r="K4">
        <v>3269</v>
      </c>
      <c r="L4">
        <v>3454</v>
      </c>
      <c r="M4">
        <v>2931</v>
      </c>
      <c r="N4">
        <v>3122.3724962621</v>
      </c>
      <c r="O4">
        <v>2998</v>
      </c>
      <c r="P4">
        <v>2949</v>
      </c>
      <c r="Q4">
        <v>2931</v>
      </c>
      <c r="R4">
        <v>2970</v>
      </c>
      <c r="S4">
        <v>2986</v>
      </c>
      <c r="T4">
        <v>2971</v>
      </c>
      <c r="U4">
        <v>3089</v>
      </c>
      <c r="V4">
        <v>3097</v>
      </c>
      <c r="W4">
        <v>3064</v>
      </c>
      <c r="X4">
        <v>3022</v>
      </c>
      <c r="Y4">
        <v>3144</v>
      </c>
      <c r="Z4">
        <v>3302</v>
      </c>
      <c r="AA4">
        <v>3138</v>
      </c>
      <c r="AB4">
        <v>3156</v>
      </c>
      <c r="AC4">
        <v>3233</v>
      </c>
      <c r="AD4">
        <v>3250</v>
      </c>
      <c r="AE4">
        <v>3005.04096615663</v>
      </c>
      <c r="AF4">
        <v>2944</v>
      </c>
      <c r="AG4">
        <v>3182</v>
      </c>
      <c r="AH4">
        <v>3066</v>
      </c>
      <c r="AI4">
        <v>3162</v>
      </c>
      <c r="AJ4">
        <v>3199</v>
      </c>
      <c r="AK4">
        <v>3231</v>
      </c>
      <c r="AL4">
        <v>3222</v>
      </c>
      <c r="AM4">
        <v>3027.2019196984702</v>
      </c>
      <c r="AN4">
        <v>3041</v>
      </c>
      <c r="AO4">
        <v>3658</v>
      </c>
      <c r="AP4">
        <v>3098</v>
      </c>
      <c r="AQ4">
        <v>2966</v>
      </c>
      <c r="AR4">
        <v>3863</v>
      </c>
      <c r="AS4">
        <v>3525</v>
      </c>
      <c r="AT4">
        <v>3204</v>
      </c>
      <c r="AU4">
        <v>3010</v>
      </c>
      <c r="AV4">
        <v>2785</v>
      </c>
      <c r="AW4">
        <v>3117</v>
      </c>
      <c r="AX4">
        <v>2756</v>
      </c>
      <c r="AY4">
        <v>3222.63700182191</v>
      </c>
      <c r="AZ4">
        <v>3213.5497140464499</v>
      </c>
      <c r="BA4">
        <v>3216.94510942327</v>
      </c>
      <c r="BB4">
        <v>3226.6072064587402</v>
      </c>
      <c r="BC4">
        <v>3022.4001022623202</v>
      </c>
      <c r="BD4">
        <v>3147</v>
      </c>
      <c r="BE4">
        <v>3300</v>
      </c>
      <c r="BF4">
        <v>3141</v>
      </c>
      <c r="BG4">
        <v>3161</v>
      </c>
      <c r="BH4">
        <v>3183</v>
      </c>
      <c r="BI4">
        <v>3188</v>
      </c>
      <c r="BJ4">
        <v>3008.06808317883</v>
      </c>
      <c r="BK4">
        <v>3023</v>
      </c>
      <c r="BL4">
        <v>3259</v>
      </c>
      <c r="BM4">
        <v>3061</v>
      </c>
      <c r="BN4">
        <v>3246</v>
      </c>
      <c r="BO4">
        <v>3243</v>
      </c>
      <c r="BP4">
        <v>3167</v>
      </c>
      <c r="BQ4">
        <v>3182</v>
      </c>
      <c r="BR4">
        <v>2955.48122712235</v>
      </c>
      <c r="BS4">
        <v>2949</v>
      </c>
      <c r="BT4">
        <v>3643</v>
      </c>
      <c r="BU4">
        <v>2993</v>
      </c>
      <c r="BV4">
        <v>2977</v>
      </c>
      <c r="BW4">
        <v>3771</v>
      </c>
      <c r="BX4">
        <v>3222</v>
      </c>
      <c r="BY4">
        <v>2980</v>
      </c>
      <c r="BZ4">
        <v>2821</v>
      </c>
      <c r="CA4">
        <v>2654</v>
      </c>
      <c r="CB4">
        <v>2957</v>
      </c>
      <c r="CC4">
        <v>2634</v>
      </c>
      <c r="CD4">
        <v>3293</v>
      </c>
      <c r="CE4">
        <v>3293</v>
      </c>
      <c r="CF4">
        <v>3319</v>
      </c>
      <c r="CG4">
        <v>2857.9227533674398</v>
      </c>
      <c r="CH4">
        <v>2960.3975007702802</v>
      </c>
      <c r="CJ4" s="4" t="s">
        <v>133</v>
      </c>
      <c r="CK4" t="s">
        <v>194</v>
      </c>
      <c r="CL4" t="s">
        <v>507</v>
      </c>
      <c r="CM4" t="s">
        <v>511</v>
      </c>
      <c r="CN4" t="s">
        <v>509</v>
      </c>
      <c r="CO4" t="s">
        <v>513</v>
      </c>
      <c r="CP4" t="s">
        <v>510</v>
      </c>
    </row>
    <row r="5" spans="1:94" x14ac:dyDescent="0.25">
      <c r="D5">
        <v>4</v>
      </c>
      <c r="E5" t="s">
        <v>25</v>
      </c>
      <c r="F5" s="3">
        <v>42057</v>
      </c>
      <c r="G5" t="s">
        <v>29</v>
      </c>
      <c r="H5">
        <v>2907</v>
      </c>
      <c r="I5">
        <v>3023</v>
      </c>
      <c r="J5">
        <v>3094</v>
      </c>
      <c r="K5">
        <v>3010</v>
      </c>
      <c r="L5">
        <v>3457</v>
      </c>
      <c r="M5">
        <v>2968</v>
      </c>
      <c r="N5">
        <v>3079.57339887947</v>
      </c>
      <c r="O5">
        <v>3002</v>
      </c>
      <c r="P5">
        <v>2984</v>
      </c>
      <c r="Q5">
        <v>2968</v>
      </c>
      <c r="R5">
        <v>2973</v>
      </c>
      <c r="S5">
        <v>2981</v>
      </c>
      <c r="T5">
        <v>2942</v>
      </c>
      <c r="U5">
        <v>3072</v>
      </c>
      <c r="V5">
        <v>3103</v>
      </c>
      <c r="W5">
        <v>3090</v>
      </c>
      <c r="X5">
        <v>3033</v>
      </c>
      <c r="Y5">
        <v>3144</v>
      </c>
      <c r="Z5">
        <v>3302</v>
      </c>
      <c r="AA5">
        <v>3138</v>
      </c>
      <c r="AB5">
        <v>3156</v>
      </c>
      <c r="AC5">
        <v>3233</v>
      </c>
      <c r="AD5">
        <v>3250</v>
      </c>
      <c r="AE5">
        <v>3005.04096615663</v>
      </c>
      <c r="AF5">
        <v>2938</v>
      </c>
      <c r="AG5">
        <v>3182</v>
      </c>
      <c r="AH5">
        <v>3064</v>
      </c>
      <c r="AI5">
        <v>3161</v>
      </c>
      <c r="AJ5">
        <v>3195</v>
      </c>
      <c r="AK5">
        <v>3228</v>
      </c>
      <c r="AL5">
        <v>3219</v>
      </c>
      <c r="AM5">
        <v>3018.5655750166902</v>
      </c>
      <c r="AN5">
        <v>3035</v>
      </c>
      <c r="AO5">
        <v>3658</v>
      </c>
      <c r="AP5">
        <v>3098</v>
      </c>
      <c r="AQ5">
        <v>2939</v>
      </c>
      <c r="AR5">
        <v>3863</v>
      </c>
      <c r="AS5">
        <v>3525</v>
      </c>
      <c r="AT5">
        <v>3207</v>
      </c>
      <c r="AU5">
        <v>3022</v>
      </c>
      <c r="AV5">
        <v>2792</v>
      </c>
      <c r="AW5">
        <v>3131</v>
      </c>
      <c r="AX5">
        <v>2760</v>
      </c>
      <c r="AY5">
        <v>3205.63700182191</v>
      </c>
      <c r="AZ5">
        <v>3196.5497140464499</v>
      </c>
      <c r="BA5">
        <v>3199.94510942327</v>
      </c>
      <c r="BB5">
        <v>3226.6072064587402</v>
      </c>
      <c r="BC5">
        <v>3022.4001022623202</v>
      </c>
      <c r="BD5">
        <v>3147</v>
      </c>
      <c r="BE5">
        <v>3300</v>
      </c>
      <c r="BF5">
        <v>3141</v>
      </c>
      <c r="BG5">
        <v>3161</v>
      </c>
      <c r="BH5">
        <v>3183</v>
      </c>
      <c r="BI5">
        <v>3188</v>
      </c>
      <c r="BJ5">
        <v>3008.06808317883</v>
      </c>
      <c r="BK5">
        <v>3017</v>
      </c>
      <c r="BL5">
        <v>3258</v>
      </c>
      <c r="BM5">
        <v>3060</v>
      </c>
      <c r="BN5">
        <v>3245</v>
      </c>
      <c r="BO5">
        <v>3241</v>
      </c>
      <c r="BP5">
        <v>3163</v>
      </c>
      <c r="BQ5">
        <v>3175</v>
      </c>
      <c r="BR5">
        <v>2955.3473632896998</v>
      </c>
      <c r="BS5">
        <v>2949</v>
      </c>
      <c r="BT5">
        <v>3643</v>
      </c>
      <c r="BU5">
        <v>2993</v>
      </c>
      <c r="BV5">
        <v>2950</v>
      </c>
      <c r="BW5">
        <v>3771</v>
      </c>
      <c r="BX5">
        <v>3223</v>
      </c>
      <c r="BY5">
        <v>2983</v>
      </c>
      <c r="BZ5">
        <v>2832</v>
      </c>
      <c r="CA5">
        <v>2661</v>
      </c>
      <c r="CB5">
        <v>2971</v>
      </c>
      <c r="CC5">
        <v>2638</v>
      </c>
      <c r="CD5">
        <v>3276</v>
      </c>
      <c r="CE5">
        <v>3276</v>
      </c>
      <c r="CF5">
        <v>3302</v>
      </c>
      <c r="CG5">
        <v>2857.9227533674398</v>
      </c>
      <c r="CH5">
        <v>2960.3975007702802</v>
      </c>
      <c r="CJ5" s="5" t="s">
        <v>26</v>
      </c>
      <c r="CK5" s="7">
        <v>2927</v>
      </c>
      <c r="CL5" s="7">
        <v>3226.6072064587402</v>
      </c>
      <c r="CM5" s="7">
        <v>3050</v>
      </c>
      <c r="CN5" s="7">
        <v>2854</v>
      </c>
      <c r="CO5" s="7">
        <v>3129.31846603141</v>
      </c>
      <c r="CP5" s="7">
        <v>3007</v>
      </c>
    </row>
    <row r="6" spans="1:94" x14ac:dyDescent="0.25">
      <c r="A6" s="14" t="s">
        <v>199</v>
      </c>
      <c r="D6">
        <v>5</v>
      </c>
      <c r="E6" t="s">
        <v>25</v>
      </c>
      <c r="F6" s="3">
        <v>42057</v>
      </c>
      <c r="G6" t="s">
        <v>30</v>
      </c>
      <c r="H6">
        <v>2886</v>
      </c>
      <c r="I6">
        <v>3029</v>
      </c>
      <c r="J6">
        <v>2986</v>
      </c>
      <c r="K6">
        <v>2817</v>
      </c>
      <c r="L6">
        <v>3123</v>
      </c>
      <c r="M6">
        <v>2945</v>
      </c>
      <c r="N6">
        <v>3112.2968282986999</v>
      </c>
      <c r="O6">
        <v>2935</v>
      </c>
      <c r="P6">
        <v>2960</v>
      </c>
      <c r="Q6">
        <v>2945</v>
      </c>
      <c r="R6">
        <v>2983</v>
      </c>
      <c r="S6">
        <v>2925</v>
      </c>
      <c r="T6">
        <v>2868</v>
      </c>
      <c r="U6">
        <v>3006</v>
      </c>
      <c r="V6">
        <v>3074</v>
      </c>
      <c r="W6">
        <v>3077</v>
      </c>
      <c r="X6">
        <v>3006</v>
      </c>
      <c r="Y6">
        <v>3143</v>
      </c>
      <c r="Z6">
        <v>3294</v>
      </c>
      <c r="AA6">
        <v>3139</v>
      </c>
      <c r="AB6">
        <v>3151</v>
      </c>
      <c r="AC6">
        <v>3244</v>
      </c>
      <c r="AD6">
        <v>3239</v>
      </c>
      <c r="AE6">
        <v>3000.2741575218802</v>
      </c>
      <c r="AF6">
        <v>2964</v>
      </c>
      <c r="AG6">
        <v>3117</v>
      </c>
      <c r="AH6">
        <v>3018</v>
      </c>
      <c r="AI6">
        <v>3101</v>
      </c>
      <c r="AJ6">
        <v>3128</v>
      </c>
      <c r="AK6">
        <v>3161</v>
      </c>
      <c r="AL6">
        <v>3142</v>
      </c>
      <c r="AM6">
        <v>3018.0336572146498</v>
      </c>
      <c r="AN6">
        <v>3027</v>
      </c>
      <c r="AO6">
        <v>3499</v>
      </c>
      <c r="AP6">
        <v>3088</v>
      </c>
      <c r="AQ6">
        <v>2933</v>
      </c>
      <c r="AR6">
        <v>3642</v>
      </c>
      <c r="AS6">
        <v>3414</v>
      </c>
      <c r="AT6">
        <v>3084</v>
      </c>
      <c r="AU6">
        <v>2937</v>
      </c>
      <c r="AV6">
        <v>2746</v>
      </c>
      <c r="AW6">
        <v>3067</v>
      </c>
      <c r="AX6">
        <v>2710</v>
      </c>
      <c r="AY6">
        <v>3140.15461127239</v>
      </c>
      <c r="AZ6">
        <v>3128.2576991022502</v>
      </c>
      <c r="BA6">
        <v>3129.2064665385901</v>
      </c>
      <c r="BB6">
        <v>3209.3098602395899</v>
      </c>
      <c r="BC6">
        <v>3015.7730934958599</v>
      </c>
      <c r="BD6">
        <v>3141</v>
      </c>
      <c r="BE6">
        <v>3294</v>
      </c>
      <c r="BF6">
        <v>3139</v>
      </c>
      <c r="BG6">
        <v>3151</v>
      </c>
      <c r="BH6">
        <v>3187</v>
      </c>
      <c r="BI6">
        <v>3191</v>
      </c>
      <c r="BJ6">
        <v>2987.4753320445202</v>
      </c>
      <c r="BK6">
        <v>3028</v>
      </c>
      <c r="BL6">
        <v>3254</v>
      </c>
      <c r="BM6">
        <v>3034</v>
      </c>
      <c r="BN6">
        <v>3250</v>
      </c>
      <c r="BO6">
        <v>3243</v>
      </c>
      <c r="BP6">
        <v>3164</v>
      </c>
      <c r="BQ6">
        <v>3157</v>
      </c>
      <c r="BR6">
        <v>2946.1422503731601</v>
      </c>
      <c r="BS6">
        <v>2945</v>
      </c>
      <c r="BT6">
        <v>3616</v>
      </c>
      <c r="BU6">
        <v>3014</v>
      </c>
      <c r="BV6">
        <v>2930</v>
      </c>
      <c r="BW6">
        <v>3769</v>
      </c>
      <c r="BX6">
        <v>3211</v>
      </c>
      <c r="BY6">
        <v>2976</v>
      </c>
      <c r="BZ6">
        <v>2784</v>
      </c>
      <c r="CA6">
        <v>2655</v>
      </c>
      <c r="CB6">
        <v>2892</v>
      </c>
      <c r="CC6">
        <v>2598</v>
      </c>
      <c r="CD6">
        <v>3222</v>
      </c>
      <c r="CE6">
        <v>3226</v>
      </c>
      <c r="CF6">
        <v>3232</v>
      </c>
      <c r="CG6">
        <v>2779.4324533146601</v>
      </c>
      <c r="CH6">
        <v>2935.7720880676202</v>
      </c>
      <c r="CJ6" s="5" t="s">
        <v>27</v>
      </c>
      <c r="CK6" s="7">
        <v>2957</v>
      </c>
      <c r="CL6" s="7">
        <v>3226.6072064587402</v>
      </c>
      <c r="CM6" s="7">
        <v>3081</v>
      </c>
      <c r="CN6" s="7">
        <v>2866</v>
      </c>
      <c r="CO6" s="7">
        <v>3122.6867521124</v>
      </c>
      <c r="CP6" s="7">
        <v>3040</v>
      </c>
    </row>
    <row r="7" spans="1:94" x14ac:dyDescent="0.25">
      <c r="D7">
        <v>6</v>
      </c>
      <c r="E7" t="s">
        <v>25</v>
      </c>
      <c r="F7" s="3">
        <v>42057</v>
      </c>
      <c r="G7" t="s">
        <v>31</v>
      </c>
      <c r="H7">
        <v>2881</v>
      </c>
      <c r="I7">
        <v>3033</v>
      </c>
      <c r="J7">
        <v>2984</v>
      </c>
      <c r="K7">
        <v>2822</v>
      </c>
      <c r="L7">
        <v>3202</v>
      </c>
      <c r="M7">
        <v>2960</v>
      </c>
      <c r="N7">
        <v>3168.5196187123502</v>
      </c>
      <c r="O7">
        <v>2930</v>
      </c>
      <c r="P7">
        <v>2957</v>
      </c>
      <c r="Q7">
        <v>2960</v>
      </c>
      <c r="R7">
        <v>2899</v>
      </c>
      <c r="S7">
        <v>2926</v>
      </c>
      <c r="T7">
        <v>2870</v>
      </c>
      <c r="U7">
        <v>2998</v>
      </c>
      <c r="V7">
        <v>3076</v>
      </c>
      <c r="W7">
        <v>3089</v>
      </c>
      <c r="X7">
        <v>2929</v>
      </c>
      <c r="Y7">
        <v>3143</v>
      </c>
      <c r="Z7">
        <v>3294</v>
      </c>
      <c r="AA7">
        <v>3139</v>
      </c>
      <c r="AB7">
        <v>3151</v>
      </c>
      <c r="AC7">
        <v>3244</v>
      </c>
      <c r="AD7">
        <v>3239</v>
      </c>
      <c r="AE7">
        <v>3000.2741575218802</v>
      </c>
      <c r="AF7">
        <v>2964</v>
      </c>
      <c r="AG7">
        <v>3117</v>
      </c>
      <c r="AH7">
        <v>3017</v>
      </c>
      <c r="AI7">
        <v>3101</v>
      </c>
      <c r="AJ7">
        <v>3128</v>
      </c>
      <c r="AK7">
        <v>3161</v>
      </c>
      <c r="AL7">
        <v>3142</v>
      </c>
      <c r="AM7">
        <v>3017.8131861792599</v>
      </c>
      <c r="AN7">
        <v>3026</v>
      </c>
      <c r="AO7">
        <v>3499</v>
      </c>
      <c r="AP7">
        <v>3084</v>
      </c>
      <c r="AQ7">
        <v>2912</v>
      </c>
      <c r="AR7">
        <v>3642</v>
      </c>
      <c r="AS7">
        <v>3414</v>
      </c>
      <c r="AT7">
        <v>3083</v>
      </c>
      <c r="AU7">
        <v>2941</v>
      </c>
      <c r="AV7">
        <v>2747</v>
      </c>
      <c r="AW7">
        <v>3072</v>
      </c>
      <c r="AX7">
        <v>2711</v>
      </c>
      <c r="AY7">
        <v>3132.15461127239</v>
      </c>
      <c r="AZ7">
        <v>3120.2576991022502</v>
      </c>
      <c r="BA7">
        <v>3121.2064665385901</v>
      </c>
      <c r="BB7">
        <v>3209.3098602395899</v>
      </c>
      <c r="BC7">
        <v>3015.7730934958599</v>
      </c>
      <c r="BD7">
        <v>3141</v>
      </c>
      <c r="BE7">
        <v>3294</v>
      </c>
      <c r="BF7">
        <v>3139</v>
      </c>
      <c r="BG7">
        <v>3151</v>
      </c>
      <c r="BH7">
        <v>3187</v>
      </c>
      <c r="BI7">
        <v>3191</v>
      </c>
      <c r="BJ7">
        <v>2987.4753320445202</v>
      </c>
      <c r="BK7">
        <v>3028</v>
      </c>
      <c r="BL7">
        <v>3254</v>
      </c>
      <c r="BM7">
        <v>3034</v>
      </c>
      <c r="BN7">
        <v>3250</v>
      </c>
      <c r="BO7">
        <v>3243</v>
      </c>
      <c r="BP7">
        <v>3164</v>
      </c>
      <c r="BQ7">
        <v>3157</v>
      </c>
      <c r="BR7">
        <v>2946.0791886117399</v>
      </c>
      <c r="BS7">
        <v>2945</v>
      </c>
      <c r="BT7">
        <v>3616</v>
      </c>
      <c r="BU7">
        <v>3010</v>
      </c>
      <c r="BV7">
        <v>2909</v>
      </c>
      <c r="BW7">
        <v>3769</v>
      </c>
      <c r="BX7">
        <v>3211</v>
      </c>
      <c r="BY7">
        <v>2977</v>
      </c>
      <c r="BZ7">
        <v>2789</v>
      </c>
      <c r="CA7">
        <v>2656</v>
      </c>
      <c r="CB7">
        <v>2896</v>
      </c>
      <c r="CC7">
        <v>2599</v>
      </c>
      <c r="CD7">
        <v>3214</v>
      </c>
      <c r="CE7">
        <v>3218</v>
      </c>
      <c r="CF7">
        <v>3224</v>
      </c>
      <c r="CG7">
        <v>2779.4324533146601</v>
      </c>
      <c r="CH7">
        <v>2935.7720880676202</v>
      </c>
      <c r="CJ7" s="5" t="s">
        <v>28</v>
      </c>
      <c r="CK7" s="7">
        <v>2931</v>
      </c>
      <c r="CL7" s="7">
        <v>3226.6072064587402</v>
      </c>
      <c r="CM7" s="7">
        <v>3064</v>
      </c>
      <c r="CN7" s="7">
        <v>2858</v>
      </c>
      <c r="CO7" s="7">
        <v>3122.3724962621</v>
      </c>
      <c r="CP7" s="7">
        <v>3082</v>
      </c>
    </row>
    <row r="8" spans="1:94" x14ac:dyDescent="0.25">
      <c r="D8">
        <v>7</v>
      </c>
      <c r="E8" t="s">
        <v>25</v>
      </c>
      <c r="F8" s="3">
        <v>42057</v>
      </c>
      <c r="G8" t="s">
        <v>32</v>
      </c>
      <c r="H8">
        <v>2908</v>
      </c>
      <c r="I8">
        <v>3032</v>
      </c>
      <c r="J8">
        <v>3028</v>
      </c>
      <c r="K8">
        <v>2831</v>
      </c>
      <c r="L8">
        <v>3261</v>
      </c>
      <c r="M8">
        <v>2944</v>
      </c>
      <c r="N8">
        <v>3176.7662894991199</v>
      </c>
      <c r="O8">
        <v>2947</v>
      </c>
      <c r="P8">
        <v>2980</v>
      </c>
      <c r="Q8">
        <v>2944</v>
      </c>
      <c r="R8">
        <v>2893</v>
      </c>
      <c r="S8">
        <v>2949</v>
      </c>
      <c r="T8">
        <v>2891</v>
      </c>
      <c r="U8">
        <v>3018</v>
      </c>
      <c r="V8">
        <v>3085</v>
      </c>
      <c r="W8">
        <v>3087</v>
      </c>
      <c r="X8">
        <v>2938</v>
      </c>
      <c r="Y8">
        <v>3143</v>
      </c>
      <c r="Z8">
        <v>3294</v>
      </c>
      <c r="AA8">
        <v>3139</v>
      </c>
      <c r="AB8">
        <v>3151</v>
      </c>
      <c r="AC8">
        <v>3244</v>
      </c>
      <c r="AD8">
        <v>3239</v>
      </c>
      <c r="AE8">
        <v>3000.2741575218802</v>
      </c>
      <c r="AF8">
        <v>2964</v>
      </c>
      <c r="AG8">
        <v>3117</v>
      </c>
      <c r="AH8">
        <v>3018</v>
      </c>
      <c r="AI8">
        <v>3101</v>
      </c>
      <c r="AJ8">
        <v>3129</v>
      </c>
      <c r="AK8">
        <v>3161</v>
      </c>
      <c r="AL8">
        <v>3142</v>
      </c>
      <c r="AM8">
        <v>3014.2451904068098</v>
      </c>
      <c r="AN8">
        <v>3024</v>
      </c>
      <c r="AO8">
        <v>3499</v>
      </c>
      <c r="AP8">
        <v>3084</v>
      </c>
      <c r="AQ8">
        <v>2913</v>
      </c>
      <c r="AR8">
        <v>3642</v>
      </c>
      <c r="AS8">
        <v>3414</v>
      </c>
      <c r="AT8">
        <v>3084</v>
      </c>
      <c r="AU8">
        <v>2933</v>
      </c>
      <c r="AV8">
        <v>2747</v>
      </c>
      <c r="AW8">
        <v>3066</v>
      </c>
      <c r="AX8">
        <v>2713</v>
      </c>
      <c r="AY8">
        <v>3152.15461127239</v>
      </c>
      <c r="AZ8">
        <v>3140.2576991022502</v>
      </c>
      <c r="BA8">
        <v>3141.2064665385901</v>
      </c>
      <c r="BB8">
        <v>3209.3098602395899</v>
      </c>
      <c r="BC8">
        <v>3015.7730934958599</v>
      </c>
      <c r="BD8">
        <v>3141</v>
      </c>
      <c r="BE8">
        <v>3294</v>
      </c>
      <c r="BF8">
        <v>3139</v>
      </c>
      <c r="BG8">
        <v>3151</v>
      </c>
      <c r="BH8">
        <v>3187</v>
      </c>
      <c r="BI8">
        <v>3191</v>
      </c>
      <c r="BJ8">
        <v>2987.4753320445202</v>
      </c>
      <c r="BK8">
        <v>3028</v>
      </c>
      <c r="BL8">
        <v>3255</v>
      </c>
      <c r="BM8">
        <v>3035</v>
      </c>
      <c r="BN8">
        <v>3250</v>
      </c>
      <c r="BO8">
        <v>3243</v>
      </c>
      <c r="BP8">
        <v>3164</v>
      </c>
      <c r="BQ8">
        <v>3157</v>
      </c>
      <c r="BR8">
        <v>2943.3731462147098</v>
      </c>
      <c r="BS8">
        <v>2939</v>
      </c>
      <c r="BT8">
        <v>3616</v>
      </c>
      <c r="BU8">
        <v>3010</v>
      </c>
      <c r="BV8">
        <v>2916</v>
      </c>
      <c r="BW8">
        <v>3769</v>
      </c>
      <c r="BX8">
        <v>3211</v>
      </c>
      <c r="BY8">
        <v>2980</v>
      </c>
      <c r="BZ8">
        <v>2781</v>
      </c>
      <c r="CA8">
        <v>2656</v>
      </c>
      <c r="CB8">
        <v>2890</v>
      </c>
      <c r="CC8">
        <v>2602</v>
      </c>
      <c r="CD8">
        <v>3234</v>
      </c>
      <c r="CE8">
        <v>3238</v>
      </c>
      <c r="CF8">
        <v>3244</v>
      </c>
      <c r="CG8">
        <v>2779.4324533146601</v>
      </c>
      <c r="CH8">
        <v>2935.7720880676202</v>
      </c>
      <c r="CJ8" s="5" t="s">
        <v>29</v>
      </c>
      <c r="CK8" s="7">
        <v>2968</v>
      </c>
      <c r="CL8" s="7">
        <v>3226.6072064587402</v>
      </c>
      <c r="CM8" s="7">
        <v>3090</v>
      </c>
      <c r="CN8" s="7">
        <v>2907</v>
      </c>
      <c r="CO8" s="7">
        <v>3079.57339887947</v>
      </c>
      <c r="CP8" s="7">
        <v>3094</v>
      </c>
    </row>
    <row r="9" spans="1:94" x14ac:dyDescent="0.25">
      <c r="D9">
        <v>8</v>
      </c>
      <c r="E9" t="s">
        <v>25</v>
      </c>
      <c r="F9" s="3">
        <v>42057</v>
      </c>
      <c r="G9" t="s">
        <v>33</v>
      </c>
      <c r="H9">
        <v>2907</v>
      </c>
      <c r="I9">
        <v>3023</v>
      </c>
      <c r="J9">
        <v>3034</v>
      </c>
      <c r="K9">
        <v>2837</v>
      </c>
      <c r="L9">
        <v>3290</v>
      </c>
      <c r="M9">
        <v>2939</v>
      </c>
      <c r="N9">
        <v>3121.7257227514701</v>
      </c>
      <c r="O9">
        <v>2932</v>
      </c>
      <c r="P9">
        <v>2978</v>
      </c>
      <c r="Q9">
        <v>2939</v>
      </c>
      <c r="R9">
        <v>2903</v>
      </c>
      <c r="S9">
        <v>2952</v>
      </c>
      <c r="T9">
        <v>2893</v>
      </c>
      <c r="U9">
        <v>3008</v>
      </c>
      <c r="V9">
        <v>3077</v>
      </c>
      <c r="W9">
        <v>3063</v>
      </c>
      <c r="X9">
        <v>2924</v>
      </c>
      <c r="Y9">
        <v>3143</v>
      </c>
      <c r="Z9">
        <v>3294</v>
      </c>
      <c r="AA9">
        <v>3139</v>
      </c>
      <c r="AB9">
        <v>3151</v>
      </c>
      <c r="AC9">
        <v>3244</v>
      </c>
      <c r="AD9">
        <v>3239</v>
      </c>
      <c r="AE9">
        <v>3000.2741575218802</v>
      </c>
      <c r="AF9">
        <v>2964</v>
      </c>
      <c r="AG9">
        <v>3117</v>
      </c>
      <c r="AH9">
        <v>3019</v>
      </c>
      <c r="AI9">
        <v>3101</v>
      </c>
      <c r="AJ9">
        <v>3129</v>
      </c>
      <c r="AK9">
        <v>3161</v>
      </c>
      <c r="AL9">
        <v>3142</v>
      </c>
      <c r="AM9">
        <v>3018.28271023978</v>
      </c>
      <c r="AN9">
        <v>3027</v>
      </c>
      <c r="AO9">
        <v>3499</v>
      </c>
      <c r="AP9">
        <v>3084</v>
      </c>
      <c r="AQ9">
        <v>2913</v>
      </c>
      <c r="AR9">
        <v>3642</v>
      </c>
      <c r="AS9">
        <v>3414</v>
      </c>
      <c r="AT9">
        <v>3084</v>
      </c>
      <c r="AU9">
        <v>2933</v>
      </c>
      <c r="AV9">
        <v>2747</v>
      </c>
      <c r="AW9">
        <v>3065</v>
      </c>
      <c r="AX9">
        <v>2715</v>
      </c>
      <c r="AY9">
        <v>3142.15461127239</v>
      </c>
      <c r="AZ9">
        <v>3130.2576991022502</v>
      </c>
      <c r="BA9">
        <v>3131.2064665385901</v>
      </c>
      <c r="BB9">
        <v>3209.3098602395899</v>
      </c>
      <c r="BC9">
        <v>3015.7730934958599</v>
      </c>
      <c r="BD9">
        <v>3141</v>
      </c>
      <c r="BE9">
        <v>3294</v>
      </c>
      <c r="BF9">
        <v>3139</v>
      </c>
      <c r="BG9">
        <v>3151</v>
      </c>
      <c r="BH9">
        <v>3187</v>
      </c>
      <c r="BI9">
        <v>3191</v>
      </c>
      <c r="BJ9">
        <v>2987.4753320445202</v>
      </c>
      <c r="BK9">
        <v>3028</v>
      </c>
      <c r="BL9">
        <v>3255</v>
      </c>
      <c r="BM9">
        <v>3034</v>
      </c>
      <c r="BN9">
        <v>3250</v>
      </c>
      <c r="BO9">
        <v>3243</v>
      </c>
      <c r="BP9">
        <v>3164</v>
      </c>
      <c r="BQ9">
        <v>3157</v>
      </c>
      <c r="BR9">
        <v>2947.7423673923699</v>
      </c>
      <c r="BS9">
        <v>2947</v>
      </c>
      <c r="BT9">
        <v>3616</v>
      </c>
      <c r="BU9">
        <v>3010</v>
      </c>
      <c r="BV9">
        <v>2916</v>
      </c>
      <c r="BW9">
        <v>3769</v>
      </c>
      <c r="BX9">
        <v>3211</v>
      </c>
      <c r="BY9">
        <v>2981</v>
      </c>
      <c r="BZ9">
        <v>2781</v>
      </c>
      <c r="CA9">
        <v>2656</v>
      </c>
      <c r="CB9">
        <v>2890</v>
      </c>
      <c r="CC9">
        <v>2604</v>
      </c>
      <c r="CD9">
        <v>3224</v>
      </c>
      <c r="CE9">
        <v>3228</v>
      </c>
      <c r="CF9">
        <v>3234</v>
      </c>
      <c r="CG9">
        <v>2779.4324533146601</v>
      </c>
      <c r="CH9">
        <v>2935.7720880676202</v>
      </c>
      <c r="CJ9" s="5" t="s">
        <v>30</v>
      </c>
      <c r="CK9" s="7">
        <v>2945</v>
      </c>
      <c r="CL9" s="7">
        <v>3209.3098602395899</v>
      </c>
      <c r="CM9" s="7">
        <v>3077</v>
      </c>
      <c r="CN9" s="7">
        <v>2886</v>
      </c>
      <c r="CO9" s="7">
        <v>3112.2968282986999</v>
      </c>
      <c r="CP9" s="7">
        <v>2986</v>
      </c>
    </row>
    <row r="10" spans="1:94" x14ac:dyDescent="0.25">
      <c r="D10">
        <v>9</v>
      </c>
      <c r="E10" t="s">
        <v>25</v>
      </c>
      <c r="F10" s="3">
        <v>42057</v>
      </c>
      <c r="G10" t="s">
        <v>34</v>
      </c>
      <c r="H10">
        <v>2925</v>
      </c>
      <c r="I10">
        <v>2970</v>
      </c>
      <c r="J10">
        <v>3033</v>
      </c>
      <c r="K10">
        <v>2808</v>
      </c>
      <c r="L10">
        <v>3398</v>
      </c>
      <c r="M10">
        <v>2944</v>
      </c>
      <c r="N10">
        <v>3095.3977155933399</v>
      </c>
      <c r="O10">
        <v>2916</v>
      </c>
      <c r="P10">
        <v>2980</v>
      </c>
      <c r="Q10">
        <v>2944</v>
      </c>
      <c r="R10">
        <v>2908</v>
      </c>
      <c r="S10">
        <v>2939</v>
      </c>
      <c r="T10">
        <v>2866</v>
      </c>
      <c r="U10">
        <v>2934</v>
      </c>
      <c r="V10">
        <v>3042</v>
      </c>
      <c r="W10">
        <v>3040</v>
      </c>
      <c r="X10">
        <v>2915</v>
      </c>
      <c r="Y10">
        <v>3146</v>
      </c>
      <c r="Z10">
        <v>3193</v>
      </c>
      <c r="AA10">
        <v>3142</v>
      </c>
      <c r="AB10">
        <v>3160</v>
      </c>
      <c r="AC10">
        <v>3225</v>
      </c>
      <c r="AD10">
        <v>3233</v>
      </c>
      <c r="AE10">
        <v>3001.9592503590902</v>
      </c>
      <c r="AF10">
        <v>2934</v>
      </c>
      <c r="AG10">
        <v>3077</v>
      </c>
      <c r="AH10">
        <v>2904</v>
      </c>
      <c r="AI10">
        <v>3070</v>
      </c>
      <c r="AJ10">
        <v>3083</v>
      </c>
      <c r="AK10">
        <v>3137</v>
      </c>
      <c r="AL10">
        <v>3116</v>
      </c>
      <c r="AM10">
        <v>2996.5393544584999</v>
      </c>
      <c r="AN10">
        <v>3005</v>
      </c>
      <c r="AO10">
        <v>3488</v>
      </c>
      <c r="AP10">
        <v>3066</v>
      </c>
      <c r="AQ10">
        <v>2951</v>
      </c>
      <c r="AR10">
        <v>3627</v>
      </c>
      <c r="AS10">
        <v>3277</v>
      </c>
      <c r="AT10">
        <v>3022</v>
      </c>
      <c r="AU10">
        <v>2889</v>
      </c>
      <c r="AV10">
        <v>2726</v>
      </c>
      <c r="AW10">
        <v>3025</v>
      </c>
      <c r="AX10">
        <v>2694</v>
      </c>
      <c r="AY10">
        <v>3069.4305273894402</v>
      </c>
      <c r="AZ10">
        <v>3057.0903572378602</v>
      </c>
      <c r="BA10">
        <v>3050.5306675955298</v>
      </c>
      <c r="BB10">
        <v>3151.6576398786101</v>
      </c>
      <c r="BC10">
        <v>3029.52930312427</v>
      </c>
      <c r="BD10">
        <v>3147</v>
      </c>
      <c r="BE10">
        <v>3196</v>
      </c>
      <c r="BF10">
        <v>3142</v>
      </c>
      <c r="BG10">
        <v>3153</v>
      </c>
      <c r="BH10">
        <v>3189</v>
      </c>
      <c r="BI10">
        <v>3188</v>
      </c>
      <c r="BJ10">
        <v>2998.6348837145001</v>
      </c>
      <c r="BK10">
        <v>3033</v>
      </c>
      <c r="BL10">
        <v>3321</v>
      </c>
      <c r="BM10">
        <v>2907</v>
      </c>
      <c r="BN10">
        <v>3288</v>
      </c>
      <c r="BO10">
        <v>3232</v>
      </c>
      <c r="BP10">
        <v>3187</v>
      </c>
      <c r="BQ10">
        <v>3153</v>
      </c>
      <c r="BR10">
        <v>2958.1343434462101</v>
      </c>
      <c r="BS10">
        <v>2958</v>
      </c>
      <c r="BT10">
        <v>3616</v>
      </c>
      <c r="BU10">
        <v>3075</v>
      </c>
      <c r="BV10">
        <v>2896</v>
      </c>
      <c r="BW10">
        <v>3705</v>
      </c>
      <c r="BX10">
        <v>3213</v>
      </c>
      <c r="BY10">
        <v>2992</v>
      </c>
      <c r="BZ10">
        <v>2767</v>
      </c>
      <c r="CA10">
        <v>2669</v>
      </c>
      <c r="CB10">
        <v>2862</v>
      </c>
      <c r="CC10">
        <v>2618</v>
      </c>
      <c r="CD10">
        <v>3159</v>
      </c>
      <c r="CE10">
        <v>3162</v>
      </c>
      <c r="CF10">
        <v>3177</v>
      </c>
      <c r="CG10">
        <v>2759.7088070751402</v>
      </c>
      <c r="CH10">
        <v>2964.3263213926198</v>
      </c>
      <c r="CJ10" s="5" t="s">
        <v>31</v>
      </c>
      <c r="CK10" s="7">
        <v>2960</v>
      </c>
      <c r="CL10" s="7">
        <v>3209.3098602395899</v>
      </c>
      <c r="CM10" s="7">
        <v>3089</v>
      </c>
      <c r="CN10" s="7">
        <v>2881</v>
      </c>
      <c r="CO10" s="7">
        <v>3168.5196187123502</v>
      </c>
      <c r="CP10" s="7">
        <v>2984</v>
      </c>
    </row>
    <row r="11" spans="1:94" x14ac:dyDescent="0.25">
      <c r="D11">
        <v>10</v>
      </c>
      <c r="E11" t="s">
        <v>25</v>
      </c>
      <c r="F11" s="3">
        <v>42057</v>
      </c>
      <c r="G11" t="s">
        <v>35</v>
      </c>
      <c r="H11">
        <v>2908</v>
      </c>
      <c r="I11">
        <v>2964</v>
      </c>
      <c r="J11">
        <v>3005</v>
      </c>
      <c r="K11">
        <v>2801</v>
      </c>
      <c r="L11">
        <v>3365</v>
      </c>
      <c r="M11">
        <v>2953</v>
      </c>
      <c r="N11">
        <v>3080.2126072361898</v>
      </c>
      <c r="O11">
        <v>2910</v>
      </c>
      <c r="P11">
        <v>2964</v>
      </c>
      <c r="Q11">
        <v>2953</v>
      </c>
      <c r="R11">
        <v>2928</v>
      </c>
      <c r="S11">
        <v>2926</v>
      </c>
      <c r="T11">
        <v>2853</v>
      </c>
      <c r="U11">
        <v>2943</v>
      </c>
      <c r="V11">
        <v>3032</v>
      </c>
      <c r="W11">
        <v>3025</v>
      </c>
      <c r="X11">
        <v>2927</v>
      </c>
      <c r="Y11">
        <v>3146</v>
      </c>
      <c r="Z11">
        <v>3193</v>
      </c>
      <c r="AA11">
        <v>3142</v>
      </c>
      <c r="AB11">
        <v>3160</v>
      </c>
      <c r="AC11">
        <v>3225</v>
      </c>
      <c r="AD11">
        <v>3233</v>
      </c>
      <c r="AE11">
        <v>3001.9592503590902</v>
      </c>
      <c r="AF11">
        <v>2934</v>
      </c>
      <c r="AG11">
        <v>3077</v>
      </c>
      <c r="AH11">
        <v>2903</v>
      </c>
      <c r="AI11">
        <v>3069</v>
      </c>
      <c r="AJ11">
        <v>3083</v>
      </c>
      <c r="AK11">
        <v>3136</v>
      </c>
      <c r="AL11">
        <v>3116</v>
      </c>
      <c r="AM11">
        <v>2996.6236053371199</v>
      </c>
      <c r="AN11">
        <v>3004</v>
      </c>
      <c r="AO11">
        <v>3488</v>
      </c>
      <c r="AP11">
        <v>3066</v>
      </c>
      <c r="AQ11">
        <v>2951</v>
      </c>
      <c r="AR11">
        <v>3627</v>
      </c>
      <c r="AS11">
        <v>3278</v>
      </c>
      <c r="AT11">
        <v>3021</v>
      </c>
      <c r="AU11">
        <v>2866</v>
      </c>
      <c r="AV11">
        <v>2714</v>
      </c>
      <c r="AW11">
        <v>3002</v>
      </c>
      <c r="AX11">
        <v>2679</v>
      </c>
      <c r="AY11">
        <v>3078.4305273894402</v>
      </c>
      <c r="AZ11">
        <v>3066.0903572378602</v>
      </c>
      <c r="BA11">
        <v>3059.5306675955298</v>
      </c>
      <c r="BB11">
        <v>3151.6576398786101</v>
      </c>
      <c r="BC11">
        <v>3029.52930312427</v>
      </c>
      <c r="BD11">
        <v>3147</v>
      </c>
      <c r="BE11">
        <v>3196</v>
      </c>
      <c r="BF11">
        <v>3142</v>
      </c>
      <c r="BG11">
        <v>3153</v>
      </c>
      <c r="BH11">
        <v>3189</v>
      </c>
      <c r="BI11">
        <v>3188</v>
      </c>
      <c r="BJ11">
        <v>2998.6348837145001</v>
      </c>
      <c r="BK11">
        <v>3033</v>
      </c>
      <c r="BL11">
        <v>3321</v>
      </c>
      <c r="BM11">
        <v>2905</v>
      </c>
      <c r="BN11">
        <v>3288</v>
      </c>
      <c r="BO11">
        <v>3232</v>
      </c>
      <c r="BP11">
        <v>3186</v>
      </c>
      <c r="BQ11">
        <v>3153</v>
      </c>
      <c r="BR11">
        <v>2958.37999809129</v>
      </c>
      <c r="BS11">
        <v>2958</v>
      </c>
      <c r="BT11">
        <v>3616</v>
      </c>
      <c r="BU11">
        <v>3075</v>
      </c>
      <c r="BV11">
        <v>2896</v>
      </c>
      <c r="BW11">
        <v>3705</v>
      </c>
      <c r="BX11">
        <v>3213</v>
      </c>
      <c r="BY11">
        <v>2993</v>
      </c>
      <c r="BZ11">
        <v>2745</v>
      </c>
      <c r="CA11">
        <v>2658</v>
      </c>
      <c r="CB11">
        <v>2840</v>
      </c>
      <c r="CC11">
        <v>2603</v>
      </c>
      <c r="CD11">
        <v>3168</v>
      </c>
      <c r="CE11">
        <v>3171</v>
      </c>
      <c r="CF11">
        <v>3186</v>
      </c>
      <c r="CG11">
        <v>2759.7088070751402</v>
      </c>
      <c r="CH11">
        <v>2964.3263213926198</v>
      </c>
      <c r="CJ11" s="5" t="s">
        <v>32</v>
      </c>
      <c r="CK11" s="7">
        <v>2944</v>
      </c>
      <c r="CL11" s="7">
        <v>3209.3098602395899</v>
      </c>
      <c r="CM11" s="7">
        <v>3087</v>
      </c>
      <c r="CN11" s="7">
        <v>2908</v>
      </c>
      <c r="CO11" s="7">
        <v>3176.7662894991199</v>
      </c>
      <c r="CP11" s="7">
        <v>3028</v>
      </c>
    </row>
    <row r="12" spans="1:94" x14ac:dyDescent="0.25">
      <c r="D12">
        <v>11</v>
      </c>
      <c r="E12" t="s">
        <v>25</v>
      </c>
      <c r="F12" s="3">
        <v>42057</v>
      </c>
      <c r="G12" t="s">
        <v>36</v>
      </c>
      <c r="H12">
        <v>2950</v>
      </c>
      <c r="I12">
        <v>2950</v>
      </c>
      <c r="J12">
        <v>2998</v>
      </c>
      <c r="K12">
        <v>2794</v>
      </c>
      <c r="L12">
        <v>3279</v>
      </c>
      <c r="M12">
        <v>2980</v>
      </c>
      <c r="N12">
        <v>3079.0757523757502</v>
      </c>
      <c r="O12">
        <v>2941</v>
      </c>
      <c r="P12">
        <v>2982</v>
      </c>
      <c r="Q12">
        <v>2980</v>
      </c>
      <c r="R12">
        <v>2913</v>
      </c>
      <c r="S12">
        <v>2931</v>
      </c>
      <c r="T12">
        <v>2842</v>
      </c>
      <c r="U12">
        <v>2927</v>
      </c>
      <c r="V12">
        <v>3014</v>
      </c>
      <c r="W12">
        <v>3012</v>
      </c>
      <c r="X12">
        <v>2909</v>
      </c>
      <c r="Y12">
        <v>3146</v>
      </c>
      <c r="Z12">
        <v>3193</v>
      </c>
      <c r="AA12">
        <v>3142</v>
      </c>
      <c r="AB12">
        <v>3160</v>
      </c>
      <c r="AC12">
        <v>3225</v>
      </c>
      <c r="AD12">
        <v>3233</v>
      </c>
      <c r="AE12">
        <v>3001.9592503590902</v>
      </c>
      <c r="AF12">
        <v>2934</v>
      </c>
      <c r="AG12">
        <v>3077</v>
      </c>
      <c r="AH12">
        <v>2902</v>
      </c>
      <c r="AI12">
        <v>3070</v>
      </c>
      <c r="AJ12">
        <v>3083</v>
      </c>
      <c r="AK12">
        <v>3136</v>
      </c>
      <c r="AL12">
        <v>3116</v>
      </c>
      <c r="AM12">
        <v>2996.1434962908802</v>
      </c>
      <c r="AN12">
        <v>3005</v>
      </c>
      <c r="AO12">
        <v>3488</v>
      </c>
      <c r="AP12">
        <v>3066</v>
      </c>
      <c r="AQ12">
        <v>2951</v>
      </c>
      <c r="AR12">
        <v>3627</v>
      </c>
      <c r="AS12">
        <v>3278</v>
      </c>
      <c r="AT12">
        <v>3022</v>
      </c>
      <c r="AU12">
        <v>2859</v>
      </c>
      <c r="AV12">
        <v>2710</v>
      </c>
      <c r="AW12">
        <v>2994</v>
      </c>
      <c r="AX12">
        <v>2677</v>
      </c>
      <c r="AY12">
        <v>3062.4305273894402</v>
      </c>
      <c r="AZ12">
        <v>3050.0903572378602</v>
      </c>
      <c r="BA12">
        <v>3043.5306675955298</v>
      </c>
      <c r="BB12">
        <v>3151.6576398786101</v>
      </c>
      <c r="BC12">
        <v>3029.52930312427</v>
      </c>
      <c r="BD12">
        <v>3147</v>
      </c>
      <c r="BE12">
        <v>3196</v>
      </c>
      <c r="BF12">
        <v>3142</v>
      </c>
      <c r="BG12">
        <v>3153</v>
      </c>
      <c r="BH12">
        <v>3189</v>
      </c>
      <c r="BI12">
        <v>3188</v>
      </c>
      <c r="BJ12">
        <v>2998.6348837145001</v>
      </c>
      <c r="BK12">
        <v>3033</v>
      </c>
      <c r="BL12">
        <v>3321</v>
      </c>
      <c r="BM12">
        <v>2904</v>
      </c>
      <c r="BN12">
        <v>3288</v>
      </c>
      <c r="BO12">
        <v>3233</v>
      </c>
      <c r="BP12">
        <v>3186</v>
      </c>
      <c r="BQ12">
        <v>3153</v>
      </c>
      <c r="BR12">
        <v>2958.7323774307602</v>
      </c>
      <c r="BS12">
        <v>2959</v>
      </c>
      <c r="BT12">
        <v>3616</v>
      </c>
      <c r="BU12">
        <v>3075</v>
      </c>
      <c r="BV12">
        <v>2896</v>
      </c>
      <c r="BW12">
        <v>3705</v>
      </c>
      <c r="BX12">
        <v>3213</v>
      </c>
      <c r="BY12">
        <v>2993</v>
      </c>
      <c r="BZ12">
        <v>2739</v>
      </c>
      <c r="CA12">
        <v>2654</v>
      </c>
      <c r="CB12">
        <v>2832</v>
      </c>
      <c r="CC12">
        <v>2601</v>
      </c>
      <c r="CD12">
        <v>3152</v>
      </c>
      <c r="CE12">
        <v>3155</v>
      </c>
      <c r="CF12">
        <v>3170</v>
      </c>
      <c r="CG12">
        <v>2759.7088070751402</v>
      </c>
      <c r="CH12">
        <v>2964.3263213926198</v>
      </c>
      <c r="CJ12" s="5" t="s">
        <v>33</v>
      </c>
      <c r="CK12" s="7">
        <v>2939</v>
      </c>
      <c r="CL12" s="7">
        <v>3209.3098602395899</v>
      </c>
      <c r="CM12" s="7">
        <v>3063</v>
      </c>
      <c r="CN12" s="7">
        <v>2907</v>
      </c>
      <c r="CO12" s="7">
        <v>3121.7257227514701</v>
      </c>
      <c r="CP12" s="7">
        <v>3034</v>
      </c>
    </row>
    <row r="13" spans="1:94" x14ac:dyDescent="0.25">
      <c r="D13">
        <v>12</v>
      </c>
      <c r="E13" t="s">
        <v>25</v>
      </c>
      <c r="F13" s="3">
        <v>42057</v>
      </c>
      <c r="G13" t="s">
        <v>37</v>
      </c>
      <c r="H13">
        <v>2924</v>
      </c>
      <c r="I13">
        <v>2984</v>
      </c>
      <c r="J13">
        <v>3018</v>
      </c>
      <c r="K13">
        <v>2790</v>
      </c>
      <c r="L13">
        <v>3279</v>
      </c>
      <c r="M13">
        <v>2967</v>
      </c>
      <c r="N13">
        <v>3096.3924077627798</v>
      </c>
      <c r="O13">
        <v>2938</v>
      </c>
      <c r="P13">
        <v>2970</v>
      </c>
      <c r="Q13">
        <v>2967</v>
      </c>
      <c r="R13">
        <v>2918</v>
      </c>
      <c r="S13">
        <v>2936</v>
      </c>
      <c r="T13">
        <v>2856</v>
      </c>
      <c r="U13">
        <v>2964</v>
      </c>
      <c r="V13">
        <v>3042</v>
      </c>
      <c r="W13">
        <v>3040</v>
      </c>
      <c r="X13">
        <v>2919</v>
      </c>
      <c r="Y13">
        <v>3146</v>
      </c>
      <c r="Z13">
        <v>3193</v>
      </c>
      <c r="AA13">
        <v>3142</v>
      </c>
      <c r="AB13">
        <v>3160</v>
      </c>
      <c r="AC13">
        <v>3225</v>
      </c>
      <c r="AD13">
        <v>3233</v>
      </c>
      <c r="AE13">
        <v>3001.9592503590902</v>
      </c>
      <c r="AF13">
        <v>2934</v>
      </c>
      <c r="AG13">
        <v>3077</v>
      </c>
      <c r="AH13">
        <v>2902</v>
      </c>
      <c r="AI13">
        <v>3070</v>
      </c>
      <c r="AJ13">
        <v>3083</v>
      </c>
      <c r="AK13">
        <v>3136</v>
      </c>
      <c r="AL13">
        <v>3116</v>
      </c>
      <c r="AM13">
        <v>2997.9661062391801</v>
      </c>
      <c r="AN13">
        <v>3005</v>
      </c>
      <c r="AO13">
        <v>3488</v>
      </c>
      <c r="AP13">
        <v>3066</v>
      </c>
      <c r="AQ13">
        <v>2951</v>
      </c>
      <c r="AR13">
        <v>3627</v>
      </c>
      <c r="AS13">
        <v>3278</v>
      </c>
      <c r="AT13">
        <v>3019</v>
      </c>
      <c r="AU13">
        <v>2878</v>
      </c>
      <c r="AV13">
        <v>2720</v>
      </c>
      <c r="AW13">
        <v>3015</v>
      </c>
      <c r="AX13">
        <v>2684</v>
      </c>
      <c r="AY13">
        <v>3099.4305273894402</v>
      </c>
      <c r="AZ13">
        <v>3087.0903572378602</v>
      </c>
      <c r="BA13">
        <v>3080.5306675955298</v>
      </c>
      <c r="BB13">
        <v>3151.6576398786101</v>
      </c>
      <c r="BC13">
        <v>3029.52930312427</v>
      </c>
      <c r="BD13">
        <v>3147</v>
      </c>
      <c r="BE13">
        <v>3196</v>
      </c>
      <c r="BF13">
        <v>3142</v>
      </c>
      <c r="BG13">
        <v>3153</v>
      </c>
      <c r="BH13">
        <v>3189</v>
      </c>
      <c r="BI13">
        <v>3188</v>
      </c>
      <c r="BJ13">
        <v>2998.6348837145001</v>
      </c>
      <c r="BK13">
        <v>3033</v>
      </c>
      <c r="BL13">
        <v>3321</v>
      </c>
      <c r="BM13">
        <v>2905</v>
      </c>
      <c r="BN13">
        <v>3288</v>
      </c>
      <c r="BO13">
        <v>3233</v>
      </c>
      <c r="BP13">
        <v>3186</v>
      </c>
      <c r="BQ13">
        <v>3153</v>
      </c>
      <c r="BR13">
        <v>2959.3762096482101</v>
      </c>
      <c r="BS13">
        <v>2959</v>
      </c>
      <c r="BT13">
        <v>3616</v>
      </c>
      <c r="BU13">
        <v>3075</v>
      </c>
      <c r="BV13">
        <v>2896</v>
      </c>
      <c r="BW13">
        <v>3705</v>
      </c>
      <c r="BX13">
        <v>3213</v>
      </c>
      <c r="BY13">
        <v>2991</v>
      </c>
      <c r="BZ13">
        <v>2756</v>
      </c>
      <c r="CA13">
        <v>2663</v>
      </c>
      <c r="CB13">
        <v>2852</v>
      </c>
      <c r="CC13">
        <v>2607</v>
      </c>
      <c r="CD13">
        <v>3189</v>
      </c>
      <c r="CE13">
        <v>3192</v>
      </c>
      <c r="CF13">
        <v>3207</v>
      </c>
      <c r="CG13">
        <v>2759.7088070751402</v>
      </c>
      <c r="CH13">
        <v>2964.3263213926198</v>
      </c>
      <c r="CJ13" s="5" t="s">
        <v>34</v>
      </c>
      <c r="CK13" s="7">
        <v>2944</v>
      </c>
      <c r="CL13" s="7">
        <v>3151.6576398786101</v>
      </c>
      <c r="CM13" s="7">
        <v>3040</v>
      </c>
      <c r="CN13" s="7">
        <v>2925</v>
      </c>
      <c r="CO13" s="7">
        <v>3095.3977155933399</v>
      </c>
      <c r="CP13" s="7">
        <v>3033</v>
      </c>
    </row>
    <row r="14" spans="1:94" x14ac:dyDescent="0.25">
      <c r="D14">
        <v>13</v>
      </c>
      <c r="E14" t="s">
        <v>25</v>
      </c>
      <c r="F14" s="3">
        <v>42057</v>
      </c>
      <c r="G14" t="s">
        <v>38</v>
      </c>
      <c r="H14">
        <v>2927</v>
      </c>
      <c r="I14">
        <v>2917</v>
      </c>
      <c r="J14">
        <v>2992</v>
      </c>
      <c r="K14">
        <v>2773</v>
      </c>
      <c r="L14">
        <v>3239</v>
      </c>
      <c r="M14">
        <v>2958</v>
      </c>
      <c r="N14">
        <v>3054.5010822682202</v>
      </c>
      <c r="O14">
        <v>2933</v>
      </c>
      <c r="P14">
        <v>2955</v>
      </c>
      <c r="Q14">
        <v>2958</v>
      </c>
      <c r="R14">
        <v>2903</v>
      </c>
      <c r="S14">
        <v>2910</v>
      </c>
      <c r="T14">
        <v>2815</v>
      </c>
      <c r="U14">
        <v>2913</v>
      </c>
      <c r="V14">
        <v>2982</v>
      </c>
      <c r="W14">
        <v>2982</v>
      </c>
      <c r="X14">
        <v>2930</v>
      </c>
      <c r="Y14">
        <v>3143</v>
      </c>
      <c r="Z14">
        <v>3219</v>
      </c>
      <c r="AA14">
        <v>3150</v>
      </c>
      <c r="AB14">
        <v>3146</v>
      </c>
      <c r="AC14">
        <v>3169</v>
      </c>
      <c r="AD14">
        <v>3173</v>
      </c>
      <c r="AE14">
        <v>2972.4728077265099</v>
      </c>
      <c r="AF14">
        <v>2912</v>
      </c>
      <c r="AG14">
        <v>3084</v>
      </c>
      <c r="AH14">
        <v>3000</v>
      </c>
      <c r="AI14">
        <v>3068</v>
      </c>
      <c r="AJ14">
        <v>3062</v>
      </c>
      <c r="AK14">
        <v>3064</v>
      </c>
      <c r="AL14">
        <v>3047</v>
      </c>
      <c r="AM14">
        <v>2985.3632285676299</v>
      </c>
      <c r="AN14">
        <v>2993</v>
      </c>
      <c r="AO14">
        <v>3514</v>
      </c>
      <c r="AP14">
        <v>3053</v>
      </c>
      <c r="AQ14">
        <v>2979</v>
      </c>
      <c r="AR14">
        <v>3504</v>
      </c>
      <c r="AS14">
        <v>3181</v>
      </c>
      <c r="AT14">
        <v>3003</v>
      </c>
      <c r="AU14">
        <v>2829</v>
      </c>
      <c r="AV14">
        <v>2731</v>
      </c>
      <c r="AW14">
        <v>2922</v>
      </c>
      <c r="AX14">
        <v>2677</v>
      </c>
      <c r="AY14">
        <v>3044.7840711003701</v>
      </c>
      <c r="AZ14">
        <v>3041.7799874890302</v>
      </c>
      <c r="BA14">
        <v>3038.69510293239</v>
      </c>
      <c r="BB14">
        <v>2956.2711473691002</v>
      </c>
      <c r="BC14">
        <v>2908.7718951633801</v>
      </c>
      <c r="BD14">
        <v>3146</v>
      </c>
      <c r="BE14">
        <v>3222</v>
      </c>
      <c r="BF14">
        <v>3141</v>
      </c>
      <c r="BG14">
        <v>3156</v>
      </c>
      <c r="BH14">
        <v>3190</v>
      </c>
      <c r="BI14">
        <v>3188</v>
      </c>
      <c r="BJ14">
        <v>3153.9269990081898</v>
      </c>
      <c r="BK14">
        <v>3170</v>
      </c>
      <c r="BL14">
        <v>3235</v>
      </c>
      <c r="BM14">
        <v>2991</v>
      </c>
      <c r="BN14">
        <v>3274</v>
      </c>
      <c r="BO14">
        <v>3244</v>
      </c>
      <c r="BP14">
        <v>3214</v>
      </c>
      <c r="BQ14">
        <v>3209</v>
      </c>
      <c r="BR14">
        <v>2966.3844975341699</v>
      </c>
      <c r="BS14">
        <v>2968</v>
      </c>
      <c r="BT14">
        <v>3642</v>
      </c>
      <c r="BU14">
        <v>3111</v>
      </c>
      <c r="BV14">
        <v>3009</v>
      </c>
      <c r="BW14">
        <v>3711</v>
      </c>
      <c r="BX14">
        <v>3228</v>
      </c>
      <c r="BY14">
        <v>3027</v>
      </c>
      <c r="BZ14">
        <v>2728</v>
      </c>
      <c r="CA14">
        <v>2653</v>
      </c>
      <c r="CB14">
        <v>2850</v>
      </c>
      <c r="CC14">
        <v>2625</v>
      </c>
      <c r="CD14">
        <v>3135</v>
      </c>
      <c r="CE14">
        <v>3151</v>
      </c>
      <c r="CF14">
        <v>3167</v>
      </c>
      <c r="CG14">
        <v>2783.7158404392299</v>
      </c>
      <c r="CH14">
        <v>2965.8593070141701</v>
      </c>
      <c r="CJ14" s="5" t="s">
        <v>35</v>
      </c>
      <c r="CK14" s="7">
        <v>2953</v>
      </c>
      <c r="CL14" s="7">
        <v>3151.6576398786101</v>
      </c>
      <c r="CM14" s="7">
        <v>3025</v>
      </c>
      <c r="CN14" s="7">
        <v>2908</v>
      </c>
      <c r="CO14" s="7">
        <v>3080.2126072361898</v>
      </c>
      <c r="CP14" s="7">
        <v>3005</v>
      </c>
    </row>
    <row r="15" spans="1:94" x14ac:dyDescent="0.25">
      <c r="D15">
        <v>14</v>
      </c>
      <c r="E15" t="s">
        <v>25</v>
      </c>
      <c r="F15" s="3">
        <v>42057</v>
      </c>
      <c r="G15" t="s">
        <v>39</v>
      </c>
      <c r="H15">
        <v>2941</v>
      </c>
      <c r="I15">
        <v>2853</v>
      </c>
      <c r="J15">
        <v>3006</v>
      </c>
      <c r="K15">
        <v>2777</v>
      </c>
      <c r="L15">
        <v>3215</v>
      </c>
      <c r="M15">
        <v>2954</v>
      </c>
      <c r="N15">
        <v>3046.82784066461</v>
      </c>
      <c r="O15">
        <v>2923</v>
      </c>
      <c r="P15">
        <v>2955</v>
      </c>
      <c r="Q15">
        <v>2954</v>
      </c>
      <c r="R15">
        <v>2906</v>
      </c>
      <c r="S15">
        <v>2902</v>
      </c>
      <c r="T15">
        <v>2800</v>
      </c>
      <c r="U15">
        <v>2865</v>
      </c>
      <c r="V15">
        <v>2941</v>
      </c>
      <c r="W15">
        <v>2939</v>
      </c>
      <c r="X15">
        <v>2953</v>
      </c>
      <c r="Y15">
        <v>3143</v>
      </c>
      <c r="Z15">
        <v>3219</v>
      </c>
      <c r="AA15">
        <v>3150</v>
      </c>
      <c r="AB15">
        <v>3146</v>
      </c>
      <c r="AC15">
        <v>3169</v>
      </c>
      <c r="AD15">
        <v>3173</v>
      </c>
      <c r="AE15">
        <v>2972.4728077265099</v>
      </c>
      <c r="AF15">
        <v>2912</v>
      </c>
      <c r="AG15">
        <v>3083</v>
      </c>
      <c r="AH15">
        <v>2999</v>
      </c>
      <c r="AI15">
        <v>3068</v>
      </c>
      <c r="AJ15">
        <v>3062</v>
      </c>
      <c r="AK15">
        <v>3064</v>
      </c>
      <c r="AL15">
        <v>3047</v>
      </c>
      <c r="AM15">
        <v>2981.2612935849202</v>
      </c>
      <c r="AN15">
        <v>2988</v>
      </c>
      <c r="AO15">
        <v>3514</v>
      </c>
      <c r="AP15">
        <v>3053</v>
      </c>
      <c r="AQ15">
        <v>2979</v>
      </c>
      <c r="AR15">
        <v>3504</v>
      </c>
      <c r="AS15">
        <v>3181</v>
      </c>
      <c r="AT15">
        <v>3002</v>
      </c>
      <c r="AU15">
        <v>2836</v>
      </c>
      <c r="AV15">
        <v>2732</v>
      </c>
      <c r="AW15">
        <v>2924</v>
      </c>
      <c r="AX15">
        <v>2696</v>
      </c>
      <c r="AY15">
        <v>2996.7840711003701</v>
      </c>
      <c r="AZ15">
        <v>2993.7799874890302</v>
      </c>
      <c r="BA15">
        <v>2990.69510293239</v>
      </c>
      <c r="BB15">
        <v>2956.2711473691002</v>
      </c>
      <c r="BC15">
        <v>2908.7718951633801</v>
      </c>
      <c r="BD15">
        <v>3146</v>
      </c>
      <c r="BE15">
        <v>3222</v>
      </c>
      <c r="BF15">
        <v>3141</v>
      </c>
      <c r="BG15">
        <v>3156</v>
      </c>
      <c r="BH15">
        <v>3190</v>
      </c>
      <c r="BI15">
        <v>3188</v>
      </c>
      <c r="BJ15">
        <v>3153.9269990081898</v>
      </c>
      <c r="BK15">
        <v>3170</v>
      </c>
      <c r="BL15">
        <v>3235</v>
      </c>
      <c r="BM15">
        <v>2991</v>
      </c>
      <c r="BN15">
        <v>3273</v>
      </c>
      <c r="BO15">
        <v>3244</v>
      </c>
      <c r="BP15">
        <v>3214</v>
      </c>
      <c r="BQ15">
        <v>3209</v>
      </c>
      <c r="BR15">
        <v>2964.47827869914</v>
      </c>
      <c r="BS15">
        <v>2966</v>
      </c>
      <c r="BT15">
        <v>3642</v>
      </c>
      <c r="BU15">
        <v>3111</v>
      </c>
      <c r="BV15">
        <v>3009</v>
      </c>
      <c r="BW15">
        <v>3711</v>
      </c>
      <c r="BX15">
        <v>3228</v>
      </c>
      <c r="BY15">
        <v>3026</v>
      </c>
      <c r="BZ15">
        <v>2735</v>
      </c>
      <c r="CA15">
        <v>2654</v>
      </c>
      <c r="CB15">
        <v>2851</v>
      </c>
      <c r="CC15">
        <v>2643</v>
      </c>
      <c r="CD15">
        <v>3087</v>
      </c>
      <c r="CE15">
        <v>3103</v>
      </c>
      <c r="CF15">
        <v>3119</v>
      </c>
      <c r="CG15">
        <v>2783.7158404392299</v>
      </c>
      <c r="CH15">
        <v>2965.8593070141701</v>
      </c>
      <c r="CJ15" s="5" t="s">
        <v>36</v>
      </c>
      <c r="CK15" s="7">
        <v>2980</v>
      </c>
      <c r="CL15" s="7">
        <v>3151.6576398786101</v>
      </c>
      <c r="CM15" s="7">
        <v>3012</v>
      </c>
      <c r="CN15" s="7">
        <v>2950</v>
      </c>
      <c r="CO15" s="7">
        <v>3079.0757523757502</v>
      </c>
      <c r="CP15" s="7">
        <v>2998</v>
      </c>
    </row>
    <row r="16" spans="1:94" x14ac:dyDescent="0.25">
      <c r="D16">
        <v>15</v>
      </c>
      <c r="E16" t="s">
        <v>25</v>
      </c>
      <c r="F16" s="3">
        <v>42057</v>
      </c>
      <c r="G16" t="s">
        <v>40</v>
      </c>
      <c r="H16">
        <v>2943</v>
      </c>
      <c r="I16">
        <v>2800</v>
      </c>
      <c r="J16">
        <v>3024</v>
      </c>
      <c r="K16">
        <v>2772</v>
      </c>
      <c r="L16">
        <v>3236</v>
      </c>
      <c r="M16">
        <v>2952</v>
      </c>
      <c r="N16">
        <v>3058.9300287958099</v>
      </c>
      <c r="O16">
        <v>2914</v>
      </c>
      <c r="P16">
        <v>2948</v>
      </c>
      <c r="Q16">
        <v>2952</v>
      </c>
      <c r="R16">
        <v>2915</v>
      </c>
      <c r="S16">
        <v>2897</v>
      </c>
      <c r="T16">
        <v>2799</v>
      </c>
      <c r="U16">
        <v>2820</v>
      </c>
      <c r="V16">
        <v>2908</v>
      </c>
      <c r="W16">
        <v>2905</v>
      </c>
      <c r="X16">
        <v>2941</v>
      </c>
      <c r="Y16">
        <v>3143</v>
      </c>
      <c r="Z16">
        <v>3219</v>
      </c>
      <c r="AA16">
        <v>3150</v>
      </c>
      <c r="AB16">
        <v>3146</v>
      </c>
      <c r="AC16">
        <v>3169</v>
      </c>
      <c r="AD16">
        <v>3173</v>
      </c>
      <c r="AE16">
        <v>2972.4728077265099</v>
      </c>
      <c r="AF16">
        <v>2912</v>
      </c>
      <c r="AG16">
        <v>3085</v>
      </c>
      <c r="AH16">
        <v>3000</v>
      </c>
      <c r="AI16">
        <v>3067</v>
      </c>
      <c r="AJ16">
        <v>3061</v>
      </c>
      <c r="AK16">
        <v>3064</v>
      </c>
      <c r="AL16">
        <v>3047</v>
      </c>
      <c r="AM16">
        <v>2978.8685140128</v>
      </c>
      <c r="AN16">
        <v>2985</v>
      </c>
      <c r="AO16">
        <v>3514</v>
      </c>
      <c r="AP16">
        <v>3053</v>
      </c>
      <c r="AQ16">
        <v>2979</v>
      </c>
      <c r="AR16">
        <v>3504</v>
      </c>
      <c r="AS16">
        <v>3180</v>
      </c>
      <c r="AT16">
        <v>3000</v>
      </c>
      <c r="AU16">
        <v>2846</v>
      </c>
      <c r="AV16">
        <v>2736</v>
      </c>
      <c r="AW16">
        <v>2930</v>
      </c>
      <c r="AX16">
        <v>2716</v>
      </c>
      <c r="AY16">
        <v>2951.7840711003701</v>
      </c>
      <c r="AZ16">
        <v>2948.7799874890302</v>
      </c>
      <c r="BA16">
        <v>2945.69510293239</v>
      </c>
      <c r="BB16">
        <v>2956.2711473691002</v>
      </c>
      <c r="BC16">
        <v>2908.7718951633801</v>
      </c>
      <c r="BD16">
        <v>3146</v>
      </c>
      <c r="BE16">
        <v>3222</v>
      </c>
      <c r="BF16">
        <v>3141</v>
      </c>
      <c r="BG16">
        <v>3156</v>
      </c>
      <c r="BH16">
        <v>3190</v>
      </c>
      <c r="BI16">
        <v>3188</v>
      </c>
      <c r="BJ16">
        <v>3153.9269990081898</v>
      </c>
      <c r="BK16">
        <v>3170</v>
      </c>
      <c r="BL16">
        <v>3235</v>
      </c>
      <c r="BM16">
        <v>2991</v>
      </c>
      <c r="BN16">
        <v>3273</v>
      </c>
      <c r="BO16">
        <v>3244</v>
      </c>
      <c r="BP16">
        <v>3214</v>
      </c>
      <c r="BQ16">
        <v>3209</v>
      </c>
      <c r="BR16">
        <v>2962.40367437847</v>
      </c>
      <c r="BS16">
        <v>2961</v>
      </c>
      <c r="BT16">
        <v>3642</v>
      </c>
      <c r="BU16">
        <v>3111</v>
      </c>
      <c r="BV16">
        <v>3009</v>
      </c>
      <c r="BW16">
        <v>3711</v>
      </c>
      <c r="BX16">
        <v>3227</v>
      </c>
      <c r="BY16">
        <v>3024</v>
      </c>
      <c r="BZ16">
        <v>2745</v>
      </c>
      <c r="CA16">
        <v>2658</v>
      </c>
      <c r="CB16">
        <v>2857</v>
      </c>
      <c r="CC16">
        <v>2663</v>
      </c>
      <c r="CD16">
        <v>3042</v>
      </c>
      <c r="CE16">
        <v>3058</v>
      </c>
      <c r="CF16">
        <v>3074</v>
      </c>
      <c r="CG16">
        <v>2783.7158404392299</v>
      </c>
      <c r="CH16">
        <v>2965.8593070141701</v>
      </c>
      <c r="CJ16" s="5" t="s">
        <v>37</v>
      </c>
      <c r="CK16" s="7">
        <v>2967</v>
      </c>
      <c r="CL16" s="7">
        <v>3151.6576398786101</v>
      </c>
      <c r="CM16" s="7">
        <v>3040</v>
      </c>
      <c r="CN16" s="7">
        <v>2924</v>
      </c>
      <c r="CO16" s="7">
        <v>3096.3924077627798</v>
      </c>
      <c r="CP16" s="7">
        <v>3018</v>
      </c>
    </row>
    <row r="17" spans="1:94" x14ac:dyDescent="0.25">
      <c r="A17" s="14" t="s">
        <v>200</v>
      </c>
      <c r="D17">
        <v>16</v>
      </c>
      <c r="E17" t="s">
        <v>25</v>
      </c>
      <c r="F17" s="3">
        <v>42057</v>
      </c>
      <c r="G17" t="s">
        <v>41</v>
      </c>
      <c r="H17">
        <v>2918</v>
      </c>
      <c r="I17">
        <v>2801</v>
      </c>
      <c r="J17">
        <v>3057</v>
      </c>
      <c r="K17">
        <v>2775</v>
      </c>
      <c r="L17">
        <v>3249</v>
      </c>
      <c r="M17">
        <v>2942</v>
      </c>
      <c r="N17">
        <v>3060.6487971094002</v>
      </c>
      <c r="O17">
        <v>2895</v>
      </c>
      <c r="P17">
        <v>2932</v>
      </c>
      <c r="Q17">
        <v>2942</v>
      </c>
      <c r="R17">
        <v>2936</v>
      </c>
      <c r="S17">
        <v>2898</v>
      </c>
      <c r="T17">
        <v>2812</v>
      </c>
      <c r="U17">
        <v>2819</v>
      </c>
      <c r="V17">
        <v>2914</v>
      </c>
      <c r="W17">
        <v>2911</v>
      </c>
      <c r="X17">
        <v>2934</v>
      </c>
      <c r="Y17">
        <v>3143</v>
      </c>
      <c r="Z17">
        <v>3219</v>
      </c>
      <c r="AA17">
        <v>3150</v>
      </c>
      <c r="AB17">
        <v>3146</v>
      </c>
      <c r="AC17">
        <v>3169</v>
      </c>
      <c r="AD17">
        <v>3173</v>
      </c>
      <c r="AE17">
        <v>2972.4728077265099</v>
      </c>
      <c r="AF17">
        <v>2912</v>
      </c>
      <c r="AG17">
        <v>3086</v>
      </c>
      <c r="AH17">
        <v>3002</v>
      </c>
      <c r="AI17">
        <v>3068</v>
      </c>
      <c r="AJ17">
        <v>3062</v>
      </c>
      <c r="AK17">
        <v>3064</v>
      </c>
      <c r="AL17">
        <v>3047</v>
      </c>
      <c r="AM17">
        <v>2978.54479933834</v>
      </c>
      <c r="AN17">
        <v>2986</v>
      </c>
      <c r="AO17">
        <v>3514</v>
      </c>
      <c r="AP17">
        <v>3053</v>
      </c>
      <c r="AQ17">
        <v>2979</v>
      </c>
      <c r="AR17">
        <v>3504</v>
      </c>
      <c r="AS17">
        <v>3179</v>
      </c>
      <c r="AT17">
        <v>2999</v>
      </c>
      <c r="AU17">
        <v>2872</v>
      </c>
      <c r="AV17">
        <v>2749</v>
      </c>
      <c r="AW17">
        <v>2956</v>
      </c>
      <c r="AX17">
        <v>2735</v>
      </c>
      <c r="AY17">
        <v>2950.7840711003701</v>
      </c>
      <c r="AZ17">
        <v>2947.7799874890302</v>
      </c>
      <c r="BA17">
        <v>2944.69510293239</v>
      </c>
      <c r="BB17">
        <v>2956.2711473691002</v>
      </c>
      <c r="BC17">
        <v>2908.7718951633801</v>
      </c>
      <c r="BD17">
        <v>3146</v>
      </c>
      <c r="BE17">
        <v>3222</v>
      </c>
      <c r="BF17">
        <v>3141</v>
      </c>
      <c r="BG17">
        <v>3156</v>
      </c>
      <c r="BH17">
        <v>3190</v>
      </c>
      <c r="BI17">
        <v>3188</v>
      </c>
      <c r="BJ17">
        <v>3153.9269990081898</v>
      </c>
      <c r="BK17">
        <v>3170</v>
      </c>
      <c r="BL17">
        <v>3234</v>
      </c>
      <c r="BM17">
        <v>2993</v>
      </c>
      <c r="BN17">
        <v>3273</v>
      </c>
      <c r="BO17">
        <v>3244</v>
      </c>
      <c r="BP17">
        <v>3214</v>
      </c>
      <c r="BQ17">
        <v>3209</v>
      </c>
      <c r="BR17">
        <v>2961.8471641812198</v>
      </c>
      <c r="BS17">
        <v>2961</v>
      </c>
      <c r="BT17">
        <v>3642</v>
      </c>
      <c r="BU17">
        <v>3111</v>
      </c>
      <c r="BV17">
        <v>3009</v>
      </c>
      <c r="BW17">
        <v>3711</v>
      </c>
      <c r="BX17">
        <v>3228</v>
      </c>
      <c r="BY17">
        <v>3022</v>
      </c>
      <c r="BZ17">
        <v>2770</v>
      </c>
      <c r="CA17">
        <v>2671</v>
      </c>
      <c r="CB17">
        <v>2882</v>
      </c>
      <c r="CC17">
        <v>2681</v>
      </c>
      <c r="CD17">
        <v>3041</v>
      </c>
      <c r="CE17">
        <v>3057</v>
      </c>
      <c r="CF17">
        <v>3073</v>
      </c>
      <c r="CG17">
        <v>2783.7158404392299</v>
      </c>
      <c r="CH17">
        <v>2965.8593070141701</v>
      </c>
      <c r="CJ17" s="5" t="s">
        <v>38</v>
      </c>
      <c r="CK17" s="7">
        <v>2958</v>
      </c>
      <c r="CL17" s="7">
        <v>2956.2711473691002</v>
      </c>
      <c r="CM17" s="7">
        <v>2982</v>
      </c>
      <c r="CN17" s="7">
        <v>2927</v>
      </c>
      <c r="CO17" s="7">
        <v>3054.5010822682202</v>
      </c>
      <c r="CP17" s="7">
        <v>2992</v>
      </c>
    </row>
    <row r="18" spans="1:94" x14ac:dyDescent="0.25">
      <c r="D18">
        <v>17</v>
      </c>
      <c r="E18" t="s">
        <v>42</v>
      </c>
      <c r="F18" s="3">
        <v>42057</v>
      </c>
      <c r="G18" t="s">
        <v>43</v>
      </c>
      <c r="H18">
        <v>2915</v>
      </c>
      <c r="I18">
        <v>2814</v>
      </c>
      <c r="J18">
        <v>3040</v>
      </c>
      <c r="K18">
        <v>2775</v>
      </c>
      <c r="L18">
        <v>3199</v>
      </c>
      <c r="M18">
        <v>2941</v>
      </c>
      <c r="N18">
        <v>3041.5073064795502</v>
      </c>
      <c r="O18">
        <v>2880</v>
      </c>
      <c r="P18">
        <v>2935</v>
      </c>
      <c r="Q18">
        <v>2941</v>
      </c>
      <c r="R18">
        <v>2979</v>
      </c>
      <c r="S18">
        <v>2905</v>
      </c>
      <c r="T18">
        <v>2828</v>
      </c>
      <c r="U18">
        <v>2823</v>
      </c>
      <c r="V18">
        <v>2928</v>
      </c>
      <c r="W18">
        <v>2936</v>
      </c>
      <c r="X18">
        <v>2945</v>
      </c>
      <c r="Y18">
        <v>3141</v>
      </c>
      <c r="Z18">
        <v>3211</v>
      </c>
      <c r="AA18">
        <v>3141</v>
      </c>
      <c r="AB18">
        <v>3150</v>
      </c>
      <c r="AC18">
        <v>3166</v>
      </c>
      <c r="AD18">
        <v>3169</v>
      </c>
      <c r="AE18">
        <v>2970.86553801338</v>
      </c>
      <c r="AF18">
        <v>2929</v>
      </c>
      <c r="AG18">
        <v>3101</v>
      </c>
      <c r="AH18">
        <v>3041</v>
      </c>
      <c r="AI18">
        <v>3110</v>
      </c>
      <c r="AJ18">
        <v>3092</v>
      </c>
      <c r="AK18">
        <v>3055</v>
      </c>
      <c r="AL18">
        <v>3062</v>
      </c>
      <c r="AM18">
        <v>2939.74327532087</v>
      </c>
      <c r="AN18">
        <v>2940</v>
      </c>
      <c r="AO18">
        <v>3498</v>
      </c>
      <c r="AP18">
        <v>3010</v>
      </c>
      <c r="AQ18">
        <v>2960</v>
      </c>
      <c r="AR18">
        <v>3498</v>
      </c>
      <c r="AS18">
        <v>3154</v>
      </c>
      <c r="AT18">
        <v>3004</v>
      </c>
      <c r="AU18">
        <v>2858</v>
      </c>
      <c r="AV18">
        <v>2769</v>
      </c>
      <c r="AW18">
        <v>2941</v>
      </c>
      <c r="AX18">
        <v>2732</v>
      </c>
      <c r="AY18">
        <v>2956.06626825892</v>
      </c>
      <c r="AZ18">
        <v>2955.0380476250898</v>
      </c>
      <c r="BA18">
        <v>2967.9581880046799</v>
      </c>
      <c r="BB18">
        <v>2825.5071151183602</v>
      </c>
      <c r="BC18">
        <v>3148.1347063164098</v>
      </c>
      <c r="BD18">
        <v>3144</v>
      </c>
      <c r="BE18">
        <v>3202</v>
      </c>
      <c r="BF18">
        <v>3136</v>
      </c>
      <c r="BG18">
        <v>3158</v>
      </c>
      <c r="BH18">
        <v>3198</v>
      </c>
      <c r="BI18">
        <v>3197</v>
      </c>
      <c r="BJ18">
        <v>3186.9935900472401</v>
      </c>
      <c r="BK18">
        <v>3151</v>
      </c>
      <c r="BL18">
        <v>3301</v>
      </c>
      <c r="BM18">
        <v>3047</v>
      </c>
      <c r="BN18">
        <v>3288</v>
      </c>
      <c r="BO18">
        <v>3314</v>
      </c>
      <c r="BP18">
        <v>3295</v>
      </c>
      <c r="BQ18">
        <v>3278</v>
      </c>
      <c r="BR18">
        <v>2958.49510575879</v>
      </c>
      <c r="BS18">
        <v>2959</v>
      </c>
      <c r="BT18">
        <v>3631</v>
      </c>
      <c r="BU18">
        <v>3119</v>
      </c>
      <c r="BV18">
        <v>3118</v>
      </c>
      <c r="BW18">
        <v>3709</v>
      </c>
      <c r="BX18">
        <v>3246</v>
      </c>
      <c r="BY18">
        <v>3057</v>
      </c>
      <c r="BZ18">
        <v>2755</v>
      </c>
      <c r="CA18">
        <v>2671</v>
      </c>
      <c r="CB18">
        <v>2859</v>
      </c>
      <c r="CC18">
        <v>2668</v>
      </c>
      <c r="CD18">
        <v>3057</v>
      </c>
      <c r="CE18">
        <v>3064</v>
      </c>
      <c r="CF18">
        <v>3087</v>
      </c>
      <c r="CG18">
        <v>1803.3229544102401</v>
      </c>
      <c r="CH18">
        <v>3153.0160631346598</v>
      </c>
      <c r="CJ18" s="5" t="s">
        <v>39</v>
      </c>
      <c r="CK18" s="7">
        <v>2954</v>
      </c>
      <c r="CL18" s="7">
        <v>2956.2711473691002</v>
      </c>
      <c r="CM18" s="7">
        <v>2939</v>
      </c>
      <c r="CN18" s="7">
        <v>2941</v>
      </c>
      <c r="CO18" s="7">
        <v>3046.82784066461</v>
      </c>
      <c r="CP18" s="7">
        <v>3006</v>
      </c>
    </row>
    <row r="19" spans="1:94" x14ac:dyDescent="0.25">
      <c r="D19">
        <v>18</v>
      </c>
      <c r="E19" t="s">
        <v>42</v>
      </c>
      <c r="F19" s="3">
        <v>42057</v>
      </c>
      <c r="G19" t="s">
        <v>44</v>
      </c>
      <c r="H19">
        <v>2981</v>
      </c>
      <c r="I19">
        <v>3019</v>
      </c>
      <c r="J19">
        <v>3123</v>
      </c>
      <c r="K19">
        <v>2846</v>
      </c>
      <c r="L19">
        <v>3187</v>
      </c>
      <c r="M19">
        <v>3024</v>
      </c>
      <c r="N19">
        <v>2997.26928890403</v>
      </c>
      <c r="O19">
        <v>2976</v>
      </c>
      <c r="P19">
        <v>3020</v>
      </c>
      <c r="Q19">
        <v>3024</v>
      </c>
      <c r="R19">
        <v>2983</v>
      </c>
      <c r="S19">
        <v>2995</v>
      </c>
      <c r="T19">
        <v>2909</v>
      </c>
      <c r="U19">
        <v>3009</v>
      </c>
      <c r="V19">
        <v>3085</v>
      </c>
      <c r="W19">
        <v>3094</v>
      </c>
      <c r="X19">
        <v>2941</v>
      </c>
      <c r="Y19">
        <v>3142</v>
      </c>
      <c r="Z19">
        <v>3211</v>
      </c>
      <c r="AA19">
        <v>3142</v>
      </c>
      <c r="AB19">
        <v>3150</v>
      </c>
      <c r="AC19">
        <v>3168</v>
      </c>
      <c r="AD19">
        <v>3170</v>
      </c>
      <c r="AE19">
        <v>2981.6608922318201</v>
      </c>
      <c r="AF19">
        <v>2929</v>
      </c>
      <c r="AG19">
        <v>3107</v>
      </c>
      <c r="AH19">
        <v>3050</v>
      </c>
      <c r="AI19">
        <v>3113</v>
      </c>
      <c r="AJ19">
        <v>3095</v>
      </c>
      <c r="AK19">
        <v>3059</v>
      </c>
      <c r="AL19">
        <v>3066</v>
      </c>
      <c r="AM19">
        <v>2954.2027923217602</v>
      </c>
      <c r="AN19">
        <v>2953</v>
      </c>
      <c r="AO19">
        <v>3498</v>
      </c>
      <c r="AP19">
        <v>3029</v>
      </c>
      <c r="AQ19">
        <v>2991</v>
      </c>
      <c r="AR19">
        <v>3498</v>
      </c>
      <c r="AS19">
        <v>3158</v>
      </c>
      <c r="AT19">
        <v>3007</v>
      </c>
      <c r="AU19">
        <v>2938</v>
      </c>
      <c r="AV19">
        <v>2819</v>
      </c>
      <c r="AW19">
        <v>3035</v>
      </c>
      <c r="AX19">
        <v>2747</v>
      </c>
      <c r="AY19">
        <v>3142.06626825892</v>
      </c>
      <c r="AZ19">
        <v>3141.0380476250898</v>
      </c>
      <c r="BA19">
        <v>3153.9581880046799</v>
      </c>
      <c r="BB19">
        <v>2825.5071151183602</v>
      </c>
      <c r="BC19">
        <v>3148.1347063164098</v>
      </c>
      <c r="BD19">
        <v>3145</v>
      </c>
      <c r="BE19">
        <v>3204</v>
      </c>
      <c r="BF19">
        <v>3136</v>
      </c>
      <c r="BG19">
        <v>3158</v>
      </c>
      <c r="BH19">
        <v>3198</v>
      </c>
      <c r="BI19">
        <v>3199</v>
      </c>
      <c r="BJ19">
        <v>3198.57429750648</v>
      </c>
      <c r="BK19">
        <v>3151</v>
      </c>
      <c r="BL19">
        <v>3312</v>
      </c>
      <c r="BM19">
        <v>3060</v>
      </c>
      <c r="BN19">
        <v>3296</v>
      </c>
      <c r="BO19">
        <v>3318</v>
      </c>
      <c r="BP19">
        <v>3298</v>
      </c>
      <c r="BQ19">
        <v>3282</v>
      </c>
      <c r="BR19">
        <v>2973.0387880379099</v>
      </c>
      <c r="BS19">
        <v>2981</v>
      </c>
      <c r="BT19">
        <v>3631</v>
      </c>
      <c r="BU19">
        <v>3139</v>
      </c>
      <c r="BV19">
        <v>3150</v>
      </c>
      <c r="BW19">
        <v>3709</v>
      </c>
      <c r="BX19">
        <v>3256</v>
      </c>
      <c r="BY19">
        <v>3078</v>
      </c>
      <c r="BZ19">
        <v>2832</v>
      </c>
      <c r="CA19">
        <v>2719</v>
      </c>
      <c r="CB19">
        <v>2950</v>
      </c>
      <c r="CC19">
        <v>2683</v>
      </c>
      <c r="CD19">
        <v>3243</v>
      </c>
      <c r="CE19">
        <v>3250</v>
      </c>
      <c r="CF19">
        <v>3273</v>
      </c>
      <c r="CG19">
        <v>1803.3229544102401</v>
      </c>
      <c r="CH19">
        <v>3153.0160631346598</v>
      </c>
      <c r="CJ19" s="5" t="s">
        <v>40</v>
      </c>
      <c r="CK19" s="7">
        <v>2952</v>
      </c>
      <c r="CL19" s="7">
        <v>2956.2711473691002</v>
      </c>
      <c r="CM19" s="7">
        <v>2905</v>
      </c>
      <c r="CN19" s="7">
        <v>2943</v>
      </c>
      <c r="CO19" s="7">
        <v>3058.9300287958099</v>
      </c>
      <c r="CP19" s="7">
        <v>3024</v>
      </c>
    </row>
    <row r="20" spans="1:94" x14ac:dyDescent="0.25">
      <c r="D20">
        <v>19</v>
      </c>
      <c r="E20" t="s">
        <v>42</v>
      </c>
      <c r="F20" s="3">
        <v>42057</v>
      </c>
      <c r="G20" t="s">
        <v>45</v>
      </c>
      <c r="H20">
        <v>3035</v>
      </c>
      <c r="I20">
        <v>3066</v>
      </c>
      <c r="J20">
        <v>3123</v>
      </c>
      <c r="K20">
        <v>2925</v>
      </c>
      <c r="L20">
        <v>3286</v>
      </c>
      <c r="M20">
        <v>3077</v>
      </c>
      <c r="N20">
        <v>3052.3302575919001</v>
      </c>
      <c r="O20">
        <v>3032</v>
      </c>
      <c r="P20">
        <v>3074</v>
      </c>
      <c r="Q20">
        <v>3077</v>
      </c>
      <c r="R20">
        <v>3079</v>
      </c>
      <c r="S20">
        <v>3042</v>
      </c>
      <c r="T20">
        <v>2956</v>
      </c>
      <c r="U20">
        <v>3043</v>
      </c>
      <c r="V20">
        <v>3129</v>
      </c>
      <c r="W20">
        <v>3135</v>
      </c>
      <c r="X20">
        <v>3016</v>
      </c>
      <c r="Y20">
        <v>3144</v>
      </c>
      <c r="Z20">
        <v>3222</v>
      </c>
      <c r="AA20">
        <v>3146</v>
      </c>
      <c r="AB20">
        <v>3155</v>
      </c>
      <c r="AC20">
        <v>3177</v>
      </c>
      <c r="AD20">
        <v>3177</v>
      </c>
      <c r="AE20">
        <v>2984.3375028929599</v>
      </c>
      <c r="AF20">
        <v>2947</v>
      </c>
      <c r="AG20">
        <v>3116</v>
      </c>
      <c r="AH20">
        <v>3069</v>
      </c>
      <c r="AI20">
        <v>3122</v>
      </c>
      <c r="AJ20">
        <v>3106</v>
      </c>
      <c r="AK20">
        <v>3070</v>
      </c>
      <c r="AL20">
        <v>3076</v>
      </c>
      <c r="AM20">
        <v>2954.24867531482</v>
      </c>
      <c r="AN20">
        <v>2958</v>
      </c>
      <c r="AO20">
        <v>3498</v>
      </c>
      <c r="AP20">
        <v>3045</v>
      </c>
      <c r="AQ20">
        <v>3000</v>
      </c>
      <c r="AR20">
        <v>3498</v>
      </c>
      <c r="AS20">
        <v>3165</v>
      </c>
      <c r="AT20">
        <v>3026</v>
      </c>
      <c r="AU20">
        <v>2941</v>
      </c>
      <c r="AV20">
        <v>2822</v>
      </c>
      <c r="AW20">
        <v>3041</v>
      </c>
      <c r="AX20">
        <v>2744</v>
      </c>
      <c r="AY20">
        <v>3176.06626825892</v>
      </c>
      <c r="AZ20">
        <v>3175.0380476250898</v>
      </c>
      <c r="BA20">
        <v>3187.9581880046799</v>
      </c>
      <c r="BB20">
        <v>2825.5071151183602</v>
      </c>
      <c r="BC20">
        <v>3148.1347063164098</v>
      </c>
      <c r="BD20">
        <v>3151</v>
      </c>
      <c r="BE20">
        <v>3220</v>
      </c>
      <c r="BF20">
        <v>3142</v>
      </c>
      <c r="BG20">
        <v>3174</v>
      </c>
      <c r="BH20">
        <v>3204</v>
      </c>
      <c r="BI20">
        <v>3208</v>
      </c>
      <c r="BJ20">
        <v>3201.4456294166198</v>
      </c>
      <c r="BK20">
        <v>3170</v>
      </c>
      <c r="BL20">
        <v>3324</v>
      </c>
      <c r="BM20">
        <v>3070</v>
      </c>
      <c r="BN20">
        <v>3307</v>
      </c>
      <c r="BO20">
        <v>3328</v>
      </c>
      <c r="BP20">
        <v>3304</v>
      </c>
      <c r="BQ20">
        <v>3288</v>
      </c>
      <c r="BR20">
        <v>2978.8806583238902</v>
      </c>
      <c r="BS20">
        <v>2989</v>
      </c>
      <c r="BT20">
        <v>3631</v>
      </c>
      <c r="BU20">
        <v>3156</v>
      </c>
      <c r="BV20">
        <v>3160</v>
      </c>
      <c r="BW20">
        <v>3709</v>
      </c>
      <c r="BX20">
        <v>3260</v>
      </c>
      <c r="BY20">
        <v>3096</v>
      </c>
      <c r="BZ20">
        <v>2835</v>
      </c>
      <c r="CA20">
        <v>2722</v>
      </c>
      <c r="CB20">
        <v>2957</v>
      </c>
      <c r="CC20">
        <v>2679</v>
      </c>
      <c r="CD20">
        <v>3277</v>
      </c>
      <c r="CE20">
        <v>3284</v>
      </c>
      <c r="CF20">
        <v>3307</v>
      </c>
      <c r="CG20">
        <v>1803.3229544102401</v>
      </c>
      <c r="CH20">
        <v>3153.0160631346598</v>
      </c>
      <c r="CJ20" s="5" t="s">
        <v>41</v>
      </c>
      <c r="CK20" s="7">
        <v>2942</v>
      </c>
      <c r="CL20" s="7">
        <v>2956.2711473691002</v>
      </c>
      <c r="CM20" s="7">
        <v>2911</v>
      </c>
      <c r="CN20" s="7">
        <v>2918</v>
      </c>
      <c r="CO20" s="7">
        <v>3060.6487971094002</v>
      </c>
      <c r="CP20" s="7">
        <v>3057</v>
      </c>
    </row>
    <row r="21" spans="1:94" x14ac:dyDescent="0.25">
      <c r="D21">
        <v>20</v>
      </c>
      <c r="E21" t="s">
        <v>42</v>
      </c>
      <c r="F21" s="3">
        <v>42057</v>
      </c>
      <c r="G21" t="s">
        <v>46</v>
      </c>
      <c r="H21">
        <v>3119</v>
      </c>
      <c r="I21">
        <v>3088</v>
      </c>
      <c r="J21">
        <v>3175</v>
      </c>
      <c r="K21">
        <v>3039</v>
      </c>
      <c r="L21">
        <v>3388</v>
      </c>
      <c r="M21">
        <v>3144</v>
      </c>
      <c r="N21">
        <v>3086.95685667831</v>
      </c>
      <c r="O21">
        <v>3085</v>
      </c>
      <c r="P21">
        <v>3146</v>
      </c>
      <c r="Q21">
        <v>3144</v>
      </c>
      <c r="R21">
        <v>3139</v>
      </c>
      <c r="S21">
        <v>3104</v>
      </c>
      <c r="T21">
        <v>3006</v>
      </c>
      <c r="U21">
        <v>3046</v>
      </c>
      <c r="V21">
        <v>3162</v>
      </c>
      <c r="W21">
        <v>3163</v>
      </c>
      <c r="X21">
        <v>3109</v>
      </c>
      <c r="Y21">
        <v>3175</v>
      </c>
      <c r="Z21">
        <v>3262</v>
      </c>
      <c r="AA21">
        <v>3166</v>
      </c>
      <c r="AB21">
        <v>3209</v>
      </c>
      <c r="AC21">
        <v>3204</v>
      </c>
      <c r="AD21">
        <v>3205</v>
      </c>
      <c r="AE21">
        <v>3004.0112459680199</v>
      </c>
      <c r="AF21">
        <v>2992</v>
      </c>
      <c r="AG21">
        <v>3135</v>
      </c>
      <c r="AH21">
        <v>3094</v>
      </c>
      <c r="AI21">
        <v>3145</v>
      </c>
      <c r="AJ21">
        <v>3127</v>
      </c>
      <c r="AK21">
        <v>3084</v>
      </c>
      <c r="AL21">
        <v>3099</v>
      </c>
      <c r="AM21">
        <v>2997.2540033036898</v>
      </c>
      <c r="AN21">
        <v>2985</v>
      </c>
      <c r="AO21">
        <v>3498</v>
      </c>
      <c r="AP21">
        <v>3102</v>
      </c>
      <c r="AQ21">
        <v>3028</v>
      </c>
      <c r="AR21">
        <v>3498</v>
      </c>
      <c r="AS21">
        <v>3170</v>
      </c>
      <c r="AT21">
        <v>3042</v>
      </c>
      <c r="AU21">
        <v>2983</v>
      </c>
      <c r="AV21">
        <v>2850</v>
      </c>
      <c r="AW21">
        <v>3084</v>
      </c>
      <c r="AX21">
        <v>2774</v>
      </c>
      <c r="AY21">
        <v>3179.06626825892</v>
      </c>
      <c r="AZ21">
        <v>3178.0380476250898</v>
      </c>
      <c r="BA21">
        <v>3190.9581880046799</v>
      </c>
      <c r="BB21">
        <v>2825.5071151183602</v>
      </c>
      <c r="BC21">
        <v>3148.1347063164098</v>
      </c>
      <c r="BD21">
        <v>3223</v>
      </c>
      <c r="BE21">
        <v>3259</v>
      </c>
      <c r="BF21">
        <v>3208</v>
      </c>
      <c r="BG21">
        <v>3259</v>
      </c>
      <c r="BH21">
        <v>3235</v>
      </c>
      <c r="BI21">
        <v>3244</v>
      </c>
      <c r="BJ21">
        <v>3264.30060261168</v>
      </c>
      <c r="BK21">
        <v>3219</v>
      </c>
      <c r="BL21">
        <v>3344</v>
      </c>
      <c r="BM21">
        <v>3085</v>
      </c>
      <c r="BN21">
        <v>3319</v>
      </c>
      <c r="BO21">
        <v>3341</v>
      </c>
      <c r="BP21">
        <v>3318</v>
      </c>
      <c r="BQ21">
        <v>3300</v>
      </c>
      <c r="BR21">
        <v>3020.80779733906</v>
      </c>
      <c r="BS21">
        <v>3022</v>
      </c>
      <c r="BT21">
        <v>3631</v>
      </c>
      <c r="BU21">
        <v>3214</v>
      </c>
      <c r="BV21">
        <v>3189</v>
      </c>
      <c r="BW21">
        <v>3709</v>
      </c>
      <c r="BX21">
        <v>3271</v>
      </c>
      <c r="BY21">
        <v>3115</v>
      </c>
      <c r="BZ21">
        <v>2876</v>
      </c>
      <c r="CA21">
        <v>2750</v>
      </c>
      <c r="CB21">
        <v>2998</v>
      </c>
      <c r="CC21">
        <v>2709</v>
      </c>
      <c r="CD21">
        <v>3280</v>
      </c>
      <c r="CE21">
        <v>3287</v>
      </c>
      <c r="CF21">
        <v>3310</v>
      </c>
      <c r="CG21">
        <v>1803.3229544102401</v>
      </c>
      <c r="CH21">
        <v>3153.0160631346598</v>
      </c>
      <c r="CJ21" s="5" t="s">
        <v>43</v>
      </c>
      <c r="CK21" s="7">
        <v>2941</v>
      </c>
      <c r="CL21" s="7">
        <v>2825.5071151183602</v>
      </c>
      <c r="CM21" s="7">
        <v>2936</v>
      </c>
      <c r="CN21" s="7">
        <v>2915</v>
      </c>
      <c r="CO21" s="7">
        <v>3041.5073064795502</v>
      </c>
      <c r="CP21" s="7">
        <v>3040</v>
      </c>
    </row>
    <row r="22" spans="1:94" x14ac:dyDescent="0.25">
      <c r="D22">
        <v>21</v>
      </c>
      <c r="E22" t="s">
        <v>42</v>
      </c>
      <c r="F22" s="3">
        <v>42057</v>
      </c>
      <c r="G22" t="s">
        <v>47</v>
      </c>
      <c r="H22" t="s">
        <v>48</v>
      </c>
      <c r="I22">
        <v>3069</v>
      </c>
      <c r="J22">
        <v>3406</v>
      </c>
      <c r="K22">
        <v>3216</v>
      </c>
      <c r="L22">
        <v>3128</v>
      </c>
      <c r="M22">
        <v>3225.39559811051</v>
      </c>
      <c r="N22">
        <v>3119.2720917960901</v>
      </c>
      <c r="O22" t="s">
        <v>48</v>
      </c>
      <c r="P22" t="s">
        <v>48</v>
      </c>
      <c r="Q22" t="s">
        <v>48</v>
      </c>
      <c r="R22" t="s">
        <v>48</v>
      </c>
      <c r="S22">
        <v>3162</v>
      </c>
      <c r="T22">
        <v>3058</v>
      </c>
      <c r="U22">
        <v>3048</v>
      </c>
      <c r="V22">
        <v>3228</v>
      </c>
      <c r="W22">
        <v>3239</v>
      </c>
      <c r="X22">
        <v>3134</v>
      </c>
      <c r="Y22">
        <v>3245</v>
      </c>
      <c r="Z22">
        <v>3315</v>
      </c>
      <c r="AA22">
        <v>3275</v>
      </c>
      <c r="AB22">
        <v>3332</v>
      </c>
      <c r="AC22">
        <v>3282</v>
      </c>
      <c r="AD22">
        <v>3275</v>
      </c>
      <c r="AE22">
        <v>3088.8919089807</v>
      </c>
      <c r="AF22">
        <v>3037</v>
      </c>
      <c r="AG22">
        <v>3214</v>
      </c>
      <c r="AH22">
        <v>3165</v>
      </c>
      <c r="AI22">
        <v>3190</v>
      </c>
      <c r="AJ22">
        <v>3199</v>
      </c>
      <c r="AK22">
        <v>3175</v>
      </c>
      <c r="AL22">
        <v>3164</v>
      </c>
      <c r="AM22">
        <v>3122.5956612278601</v>
      </c>
      <c r="AN22">
        <v>3119</v>
      </c>
      <c r="AO22">
        <v>3494</v>
      </c>
      <c r="AP22">
        <v>3141</v>
      </c>
      <c r="AQ22">
        <v>3152</v>
      </c>
      <c r="AR22">
        <v>3477</v>
      </c>
      <c r="AS22">
        <v>3206</v>
      </c>
      <c r="AT22">
        <v>3144</v>
      </c>
      <c r="AU22">
        <v>3160</v>
      </c>
      <c r="AV22">
        <v>2978</v>
      </c>
      <c r="AW22">
        <v>3345</v>
      </c>
      <c r="AX22">
        <v>2946</v>
      </c>
      <c r="AY22">
        <v>3185.7159609031501</v>
      </c>
      <c r="AZ22">
        <v>3190.1289449714</v>
      </c>
      <c r="BA22">
        <v>3202.9157742122702</v>
      </c>
      <c r="BB22">
        <v>2834.2661049449598</v>
      </c>
      <c r="BC22">
        <v>3137.2931156148602</v>
      </c>
      <c r="BD22">
        <v>3329</v>
      </c>
      <c r="BE22">
        <v>3311</v>
      </c>
      <c r="BF22">
        <v>3340</v>
      </c>
      <c r="BG22">
        <v>3506</v>
      </c>
      <c r="BH22">
        <v>3635</v>
      </c>
      <c r="BI22">
        <v>3642</v>
      </c>
      <c r="BJ22">
        <v>3342.1909148985901</v>
      </c>
      <c r="BK22">
        <v>3274</v>
      </c>
      <c r="BL22">
        <v>3387</v>
      </c>
      <c r="BM22">
        <v>3193</v>
      </c>
      <c r="BN22">
        <v>3375</v>
      </c>
      <c r="BO22">
        <v>3439</v>
      </c>
      <c r="BP22">
        <v>3486</v>
      </c>
      <c r="BQ22">
        <v>3493</v>
      </c>
      <c r="BR22">
        <v>3210.3855194442099</v>
      </c>
      <c r="BS22">
        <v>3218</v>
      </c>
      <c r="BT22">
        <v>3625</v>
      </c>
      <c r="BU22">
        <v>3281</v>
      </c>
      <c r="BV22">
        <v>3264</v>
      </c>
      <c r="BW22">
        <v>3705</v>
      </c>
      <c r="BX22">
        <v>3310</v>
      </c>
      <c r="BY22">
        <v>3220</v>
      </c>
      <c r="BZ22">
        <v>3039</v>
      </c>
      <c r="CA22">
        <v>2897</v>
      </c>
      <c r="CB22">
        <v>3146</v>
      </c>
      <c r="CC22">
        <v>2851</v>
      </c>
      <c r="CD22">
        <v>3282</v>
      </c>
      <c r="CE22">
        <v>3298</v>
      </c>
      <c r="CF22">
        <v>3314</v>
      </c>
      <c r="CG22">
        <v>1919.9105066382201</v>
      </c>
      <c r="CH22">
        <v>3150.4213488489499</v>
      </c>
      <c r="CJ22" s="5" t="s">
        <v>44</v>
      </c>
      <c r="CK22" s="7">
        <v>3024</v>
      </c>
      <c r="CL22" s="7">
        <v>2825.5071151183602</v>
      </c>
      <c r="CM22" s="7">
        <v>3094</v>
      </c>
      <c r="CN22" s="7">
        <v>2981</v>
      </c>
      <c r="CO22" s="7">
        <v>2997.26928890403</v>
      </c>
      <c r="CP22" s="7">
        <v>3123</v>
      </c>
    </row>
    <row r="23" spans="1:94" x14ac:dyDescent="0.25">
      <c r="D23">
        <v>22</v>
      </c>
      <c r="E23" t="s">
        <v>42</v>
      </c>
      <c r="F23" s="3">
        <v>42057</v>
      </c>
      <c r="G23" t="s">
        <v>49</v>
      </c>
      <c r="H23" t="s">
        <v>48</v>
      </c>
      <c r="I23">
        <v>3083</v>
      </c>
      <c r="J23">
        <v>3522</v>
      </c>
      <c r="K23">
        <v>3264</v>
      </c>
      <c r="L23">
        <v>3267</v>
      </c>
      <c r="M23">
        <v>3303.5839221943402</v>
      </c>
      <c r="N23">
        <v>3198.8269158251101</v>
      </c>
      <c r="O23" t="s">
        <v>48</v>
      </c>
      <c r="P23" t="s">
        <v>48</v>
      </c>
      <c r="Q23" t="s">
        <v>48</v>
      </c>
      <c r="R23" t="s">
        <v>48</v>
      </c>
      <c r="S23">
        <v>3228</v>
      </c>
      <c r="T23">
        <v>3126</v>
      </c>
      <c r="U23">
        <v>3086</v>
      </c>
      <c r="V23">
        <v>3265</v>
      </c>
      <c r="W23">
        <v>3228</v>
      </c>
      <c r="X23">
        <v>3266</v>
      </c>
      <c r="Y23">
        <v>3298</v>
      </c>
      <c r="Z23">
        <v>3379</v>
      </c>
      <c r="AA23">
        <v>3326</v>
      </c>
      <c r="AB23">
        <v>3398</v>
      </c>
      <c r="AC23">
        <v>3352</v>
      </c>
      <c r="AD23">
        <v>3347</v>
      </c>
      <c r="AE23">
        <v>3225.6217872279499</v>
      </c>
      <c r="AF23">
        <v>3167</v>
      </c>
      <c r="AG23">
        <v>3264</v>
      </c>
      <c r="AH23">
        <v>3238</v>
      </c>
      <c r="AI23">
        <v>3243</v>
      </c>
      <c r="AJ23">
        <v>3263</v>
      </c>
      <c r="AK23">
        <v>3252</v>
      </c>
      <c r="AL23">
        <v>3259</v>
      </c>
      <c r="AM23">
        <v>3211.4678494940599</v>
      </c>
      <c r="AN23">
        <v>3210</v>
      </c>
      <c r="AO23">
        <v>3494</v>
      </c>
      <c r="AP23">
        <v>3266</v>
      </c>
      <c r="AQ23">
        <v>3255</v>
      </c>
      <c r="AR23">
        <v>3477</v>
      </c>
      <c r="AS23">
        <v>3229</v>
      </c>
      <c r="AT23">
        <v>3192</v>
      </c>
      <c r="AU23">
        <v>3240</v>
      </c>
      <c r="AV23">
        <v>3059</v>
      </c>
      <c r="AW23">
        <v>3424</v>
      </c>
      <c r="AX23">
        <v>3014</v>
      </c>
      <c r="AY23">
        <v>3223.7159609031501</v>
      </c>
      <c r="AZ23">
        <v>3228.1289449714</v>
      </c>
      <c r="BA23">
        <v>3240.9157742122702</v>
      </c>
      <c r="BB23">
        <v>2834.2661049449598</v>
      </c>
      <c r="BC23">
        <v>3137.2931156148602</v>
      </c>
      <c r="BD23">
        <v>3439</v>
      </c>
      <c r="BE23">
        <v>3381</v>
      </c>
      <c r="BF23">
        <v>3466</v>
      </c>
      <c r="BG23">
        <v>3746</v>
      </c>
      <c r="BH23">
        <v>3801</v>
      </c>
      <c r="BI23">
        <v>3846</v>
      </c>
      <c r="BJ23">
        <v>3460.22674951405</v>
      </c>
      <c r="BK23">
        <v>3390</v>
      </c>
      <c r="BL23">
        <v>3464</v>
      </c>
      <c r="BM23">
        <v>3250</v>
      </c>
      <c r="BN23">
        <v>3460</v>
      </c>
      <c r="BO23">
        <v>3518</v>
      </c>
      <c r="BP23">
        <v>3554</v>
      </c>
      <c r="BQ23">
        <v>3560</v>
      </c>
      <c r="BR23">
        <v>3331.56023569015</v>
      </c>
      <c r="BS23">
        <v>3339</v>
      </c>
      <c r="BT23">
        <v>3625</v>
      </c>
      <c r="BU23">
        <v>3411</v>
      </c>
      <c r="BV23">
        <v>3346</v>
      </c>
      <c r="BW23">
        <v>3705</v>
      </c>
      <c r="BX23">
        <v>3327</v>
      </c>
      <c r="BY23">
        <v>3271</v>
      </c>
      <c r="BZ23">
        <v>3116</v>
      </c>
      <c r="CA23">
        <v>2976</v>
      </c>
      <c r="CB23">
        <v>3220</v>
      </c>
      <c r="CC23">
        <v>2918</v>
      </c>
      <c r="CD23">
        <v>3320</v>
      </c>
      <c r="CE23">
        <v>3336</v>
      </c>
      <c r="CF23">
        <v>3352</v>
      </c>
      <c r="CG23">
        <v>1919.9105066382201</v>
      </c>
      <c r="CH23">
        <v>3150.4213488489499</v>
      </c>
      <c r="CJ23" s="5" t="s">
        <v>45</v>
      </c>
      <c r="CK23" s="7">
        <v>3077</v>
      </c>
      <c r="CL23" s="7">
        <v>2825.5071151183602</v>
      </c>
      <c r="CM23" s="7">
        <v>3135</v>
      </c>
      <c r="CN23" s="7">
        <v>3035</v>
      </c>
      <c r="CO23" s="7">
        <v>3052.3302575919001</v>
      </c>
      <c r="CP23" s="7">
        <v>3123</v>
      </c>
    </row>
    <row r="24" spans="1:94" x14ac:dyDescent="0.25">
      <c r="D24">
        <v>23</v>
      </c>
      <c r="E24" t="s">
        <v>42</v>
      </c>
      <c r="F24" s="3">
        <v>42057</v>
      </c>
      <c r="G24" t="s">
        <v>50</v>
      </c>
      <c r="H24" t="s">
        <v>48</v>
      </c>
      <c r="I24">
        <v>3130</v>
      </c>
      <c r="J24">
        <v>3614</v>
      </c>
      <c r="K24">
        <v>3286</v>
      </c>
      <c r="L24">
        <v>3379</v>
      </c>
      <c r="M24">
        <v>3370.7024892081199</v>
      </c>
      <c r="N24">
        <v>3239.9477516545799</v>
      </c>
      <c r="O24" t="s">
        <v>48</v>
      </c>
      <c r="P24" t="s">
        <v>48</v>
      </c>
      <c r="Q24" t="s">
        <v>48</v>
      </c>
      <c r="R24" t="s">
        <v>48</v>
      </c>
      <c r="S24">
        <v>3307</v>
      </c>
      <c r="T24">
        <v>3207</v>
      </c>
      <c r="U24">
        <v>3152</v>
      </c>
      <c r="V24">
        <v>3320</v>
      </c>
      <c r="W24">
        <v>3290</v>
      </c>
      <c r="X24">
        <v>3345</v>
      </c>
      <c r="Y24">
        <v>3355</v>
      </c>
      <c r="Z24">
        <v>3518</v>
      </c>
      <c r="AA24">
        <v>3384</v>
      </c>
      <c r="AB24">
        <v>3467</v>
      </c>
      <c r="AC24">
        <v>3424</v>
      </c>
      <c r="AD24">
        <v>3431</v>
      </c>
      <c r="AE24">
        <v>3232.13583390639</v>
      </c>
      <c r="AF24">
        <v>3216</v>
      </c>
      <c r="AG24">
        <v>3315</v>
      </c>
      <c r="AH24">
        <v>3358</v>
      </c>
      <c r="AI24">
        <v>3321</v>
      </c>
      <c r="AJ24">
        <v>3333</v>
      </c>
      <c r="AK24">
        <v>3346</v>
      </c>
      <c r="AL24">
        <v>3340</v>
      </c>
      <c r="AM24">
        <v>3239.1610391835802</v>
      </c>
      <c r="AN24">
        <v>3242</v>
      </c>
      <c r="AO24">
        <v>3494</v>
      </c>
      <c r="AP24">
        <v>3303</v>
      </c>
      <c r="AQ24">
        <v>3312</v>
      </c>
      <c r="AR24">
        <v>3477</v>
      </c>
      <c r="AS24">
        <v>3257</v>
      </c>
      <c r="AT24">
        <v>3257</v>
      </c>
      <c r="AU24">
        <v>3302</v>
      </c>
      <c r="AV24">
        <v>3126</v>
      </c>
      <c r="AW24">
        <v>3489</v>
      </c>
      <c r="AX24">
        <v>3064</v>
      </c>
      <c r="AY24">
        <v>3289.7159609031501</v>
      </c>
      <c r="AZ24">
        <v>3294.1289449714</v>
      </c>
      <c r="BA24">
        <v>3306.9157742122702</v>
      </c>
      <c r="BB24">
        <v>2834.2661049449598</v>
      </c>
      <c r="BC24">
        <v>3137.2931156148602</v>
      </c>
      <c r="BD24">
        <v>3565</v>
      </c>
      <c r="BE24">
        <v>3532</v>
      </c>
      <c r="BF24">
        <v>3580</v>
      </c>
      <c r="BG24">
        <v>3935</v>
      </c>
      <c r="BH24">
        <v>3942</v>
      </c>
      <c r="BI24">
        <v>3939</v>
      </c>
      <c r="BJ24">
        <v>3467.2145738937002</v>
      </c>
      <c r="BK24">
        <v>3431</v>
      </c>
      <c r="BL24">
        <v>3553</v>
      </c>
      <c r="BM24">
        <v>3352</v>
      </c>
      <c r="BN24">
        <v>3543</v>
      </c>
      <c r="BO24">
        <v>3632</v>
      </c>
      <c r="BP24">
        <v>3640</v>
      </c>
      <c r="BQ24">
        <v>3630</v>
      </c>
      <c r="BR24">
        <v>3369.7377128385501</v>
      </c>
      <c r="BS24">
        <v>3380</v>
      </c>
      <c r="BT24">
        <v>3625</v>
      </c>
      <c r="BU24">
        <v>3450</v>
      </c>
      <c r="BV24">
        <v>3404</v>
      </c>
      <c r="BW24">
        <v>3705</v>
      </c>
      <c r="BX24">
        <v>3360</v>
      </c>
      <c r="BY24">
        <v>3344</v>
      </c>
      <c r="BZ24">
        <v>3176</v>
      </c>
      <c r="CA24">
        <v>3042</v>
      </c>
      <c r="CB24">
        <v>3281</v>
      </c>
      <c r="CC24">
        <v>2966</v>
      </c>
      <c r="CD24">
        <v>3386</v>
      </c>
      <c r="CE24">
        <v>3402</v>
      </c>
      <c r="CF24">
        <v>3418</v>
      </c>
      <c r="CG24">
        <v>1919.9105066382201</v>
      </c>
      <c r="CH24">
        <v>3150.4213488489499</v>
      </c>
      <c r="CJ24" s="5" t="s">
        <v>46</v>
      </c>
      <c r="CK24" s="7">
        <v>3144</v>
      </c>
      <c r="CL24" s="7">
        <v>2825.5071151183602</v>
      </c>
      <c r="CM24" s="7">
        <v>3163</v>
      </c>
      <c r="CN24" s="7">
        <v>3119</v>
      </c>
      <c r="CO24" s="7">
        <v>3086.95685667831</v>
      </c>
      <c r="CP24" s="7">
        <v>3175</v>
      </c>
    </row>
    <row r="25" spans="1:94" x14ac:dyDescent="0.25">
      <c r="D25">
        <v>24</v>
      </c>
      <c r="E25" t="s">
        <v>42</v>
      </c>
      <c r="F25" s="3">
        <v>42057</v>
      </c>
      <c r="G25" t="s">
        <v>51</v>
      </c>
      <c r="H25" t="s">
        <v>48</v>
      </c>
      <c r="I25">
        <v>3229</v>
      </c>
      <c r="J25">
        <v>3627</v>
      </c>
      <c r="K25">
        <v>3301</v>
      </c>
      <c r="L25">
        <v>3413</v>
      </c>
      <c r="M25">
        <v>3419.5875827118998</v>
      </c>
      <c r="N25">
        <v>3372.4787026901399</v>
      </c>
      <c r="O25" t="s">
        <v>48</v>
      </c>
      <c r="P25" t="s">
        <v>48</v>
      </c>
      <c r="Q25" t="s">
        <v>48</v>
      </c>
      <c r="R25" t="s">
        <v>48</v>
      </c>
      <c r="S25">
        <v>3383</v>
      </c>
      <c r="T25">
        <v>3286</v>
      </c>
      <c r="U25">
        <v>3212</v>
      </c>
      <c r="V25">
        <v>3378</v>
      </c>
      <c r="W25">
        <v>3410</v>
      </c>
      <c r="X25">
        <v>3449</v>
      </c>
      <c r="Y25">
        <v>3397</v>
      </c>
      <c r="Z25">
        <v>3648</v>
      </c>
      <c r="AA25">
        <v>3427</v>
      </c>
      <c r="AB25">
        <v>3505</v>
      </c>
      <c r="AC25">
        <v>3460</v>
      </c>
      <c r="AD25">
        <v>3472</v>
      </c>
      <c r="AE25">
        <v>3232.13583390639</v>
      </c>
      <c r="AF25">
        <v>3221</v>
      </c>
      <c r="AG25">
        <v>3350</v>
      </c>
      <c r="AH25">
        <v>3397</v>
      </c>
      <c r="AI25">
        <v>3368</v>
      </c>
      <c r="AJ25">
        <v>3375</v>
      </c>
      <c r="AK25">
        <v>3379</v>
      </c>
      <c r="AL25">
        <v>3385</v>
      </c>
      <c r="AM25">
        <v>3259.12392300703</v>
      </c>
      <c r="AN25">
        <v>3249</v>
      </c>
      <c r="AO25">
        <v>3494</v>
      </c>
      <c r="AP25">
        <v>3303</v>
      </c>
      <c r="AQ25">
        <v>3343</v>
      </c>
      <c r="AR25">
        <v>3477</v>
      </c>
      <c r="AS25">
        <v>3285</v>
      </c>
      <c r="AT25">
        <v>3286</v>
      </c>
      <c r="AU25">
        <v>3317</v>
      </c>
      <c r="AV25">
        <v>3148</v>
      </c>
      <c r="AW25">
        <v>3514</v>
      </c>
      <c r="AX25">
        <v>3077</v>
      </c>
      <c r="AY25">
        <v>3349.7159609031501</v>
      </c>
      <c r="AZ25">
        <v>3354.1289449714</v>
      </c>
      <c r="BA25">
        <v>3366.9157742122702</v>
      </c>
      <c r="BB25">
        <v>2834.2661049449598</v>
      </c>
      <c r="BC25">
        <v>3137.2931156148602</v>
      </c>
      <c r="BD25">
        <v>3698</v>
      </c>
      <c r="BE25">
        <v>3664</v>
      </c>
      <c r="BF25">
        <v>3690</v>
      </c>
      <c r="BG25">
        <v>4013</v>
      </c>
      <c r="BH25">
        <v>4022</v>
      </c>
      <c r="BI25">
        <v>4018</v>
      </c>
      <c r="BJ25">
        <v>3467.2145738937002</v>
      </c>
      <c r="BK25">
        <v>3437</v>
      </c>
      <c r="BL25">
        <v>3609</v>
      </c>
      <c r="BM25">
        <v>3399</v>
      </c>
      <c r="BN25">
        <v>3594</v>
      </c>
      <c r="BO25">
        <v>3673</v>
      </c>
      <c r="BP25">
        <v>3674</v>
      </c>
      <c r="BQ25">
        <v>3669</v>
      </c>
      <c r="BR25">
        <v>3391.1616451520199</v>
      </c>
      <c r="BS25">
        <v>3390</v>
      </c>
      <c r="BT25">
        <v>3625</v>
      </c>
      <c r="BU25">
        <v>3450</v>
      </c>
      <c r="BV25">
        <v>3436</v>
      </c>
      <c r="BW25">
        <v>3705</v>
      </c>
      <c r="BX25">
        <v>3385</v>
      </c>
      <c r="BY25">
        <v>3378</v>
      </c>
      <c r="BZ25">
        <v>3191</v>
      </c>
      <c r="CA25">
        <v>3063</v>
      </c>
      <c r="CB25">
        <v>3304</v>
      </c>
      <c r="CC25">
        <v>2978</v>
      </c>
      <c r="CD25">
        <v>3446</v>
      </c>
      <c r="CE25">
        <v>3462</v>
      </c>
      <c r="CF25">
        <v>3478</v>
      </c>
      <c r="CG25">
        <v>1919.9105066382201</v>
      </c>
      <c r="CH25">
        <v>3150.4213488489499</v>
      </c>
      <c r="CJ25" s="5" t="s">
        <v>47</v>
      </c>
      <c r="CK25" s="7">
        <v>3225.39559811051</v>
      </c>
      <c r="CL25" s="7">
        <v>2834.2661049449598</v>
      </c>
      <c r="CM25" s="7">
        <v>3239</v>
      </c>
      <c r="CN25" s="7">
        <v>0</v>
      </c>
      <c r="CO25" s="7">
        <v>3119.2720917960901</v>
      </c>
      <c r="CP25" s="7">
        <v>3406</v>
      </c>
    </row>
    <row r="26" spans="1:94" x14ac:dyDescent="0.25">
      <c r="D26">
        <v>25</v>
      </c>
      <c r="E26" t="s">
        <v>52</v>
      </c>
      <c r="F26" s="3">
        <v>42057</v>
      </c>
      <c r="G26" t="s">
        <v>53</v>
      </c>
      <c r="H26" t="s">
        <v>48</v>
      </c>
      <c r="I26">
        <v>3282</v>
      </c>
      <c r="J26">
        <v>3870</v>
      </c>
      <c r="K26">
        <v>3321</v>
      </c>
      <c r="L26">
        <v>3565</v>
      </c>
      <c r="M26">
        <v>3515.85147025676</v>
      </c>
      <c r="N26">
        <v>3566.64754933225</v>
      </c>
      <c r="O26" t="s">
        <v>48</v>
      </c>
      <c r="P26" t="s">
        <v>48</v>
      </c>
      <c r="Q26" t="s">
        <v>48</v>
      </c>
      <c r="R26" t="s">
        <v>48</v>
      </c>
      <c r="S26">
        <v>3519</v>
      </c>
      <c r="T26">
        <v>3428</v>
      </c>
      <c r="U26">
        <v>3247</v>
      </c>
      <c r="V26">
        <v>3500</v>
      </c>
      <c r="W26">
        <v>3521</v>
      </c>
      <c r="X26">
        <v>3547</v>
      </c>
      <c r="Y26">
        <v>3508</v>
      </c>
      <c r="Z26">
        <v>3719</v>
      </c>
      <c r="AA26">
        <v>3509</v>
      </c>
      <c r="AB26">
        <v>3498</v>
      </c>
      <c r="AC26">
        <v>3475</v>
      </c>
      <c r="AD26">
        <v>3491</v>
      </c>
      <c r="AE26">
        <v>3480.3416891714201</v>
      </c>
      <c r="AF26">
        <v>3447</v>
      </c>
      <c r="AG26">
        <v>3394</v>
      </c>
      <c r="AH26">
        <v>3453</v>
      </c>
      <c r="AI26">
        <v>3366</v>
      </c>
      <c r="AJ26">
        <v>3391</v>
      </c>
      <c r="AK26">
        <v>3524</v>
      </c>
      <c r="AL26">
        <v>3491</v>
      </c>
      <c r="AM26">
        <v>3350.8283016354999</v>
      </c>
      <c r="AN26">
        <v>3335</v>
      </c>
      <c r="AO26">
        <v>3468</v>
      </c>
      <c r="AP26">
        <v>3446</v>
      </c>
      <c r="AQ26">
        <v>3384</v>
      </c>
      <c r="AR26">
        <v>3436</v>
      </c>
      <c r="AS26">
        <v>3370</v>
      </c>
      <c r="AT26">
        <v>3366</v>
      </c>
      <c r="AU26">
        <v>3486</v>
      </c>
      <c r="AV26">
        <v>3337</v>
      </c>
      <c r="AW26">
        <v>3608</v>
      </c>
      <c r="AX26">
        <v>3204</v>
      </c>
      <c r="AY26">
        <v>3383.65574098771</v>
      </c>
      <c r="AZ26">
        <v>3395.65095540935</v>
      </c>
      <c r="BA26">
        <v>3404.4314868544702</v>
      </c>
      <c r="BB26">
        <v>2941.18804040445</v>
      </c>
      <c r="BC26">
        <v>3743.31631483617</v>
      </c>
      <c r="BD26">
        <v>3866</v>
      </c>
      <c r="BE26">
        <v>3735</v>
      </c>
      <c r="BF26">
        <v>3834</v>
      </c>
      <c r="BG26">
        <v>4033</v>
      </c>
      <c r="BH26">
        <v>3993</v>
      </c>
      <c r="BI26">
        <v>4010</v>
      </c>
      <c r="BJ26">
        <v>3641.7690704443698</v>
      </c>
      <c r="BK26">
        <v>3596</v>
      </c>
      <c r="BL26">
        <v>3640</v>
      </c>
      <c r="BM26">
        <v>3437</v>
      </c>
      <c r="BN26">
        <v>3656</v>
      </c>
      <c r="BO26">
        <v>3669</v>
      </c>
      <c r="BP26">
        <v>3719</v>
      </c>
      <c r="BQ26">
        <v>3714</v>
      </c>
      <c r="BR26">
        <v>3446.68220705259</v>
      </c>
      <c r="BS26">
        <v>3457</v>
      </c>
      <c r="BT26">
        <v>3627</v>
      </c>
      <c r="BU26">
        <v>3583</v>
      </c>
      <c r="BV26">
        <v>3328</v>
      </c>
      <c r="BW26">
        <v>3691</v>
      </c>
      <c r="BX26">
        <v>3459</v>
      </c>
      <c r="BY26">
        <v>3444</v>
      </c>
      <c r="BZ26">
        <v>3334</v>
      </c>
      <c r="CA26">
        <v>3222</v>
      </c>
      <c r="CB26">
        <v>3466</v>
      </c>
      <c r="CC26">
        <v>3097</v>
      </c>
      <c r="CD26">
        <v>3482</v>
      </c>
      <c r="CE26">
        <v>3501</v>
      </c>
      <c r="CF26">
        <v>3524</v>
      </c>
      <c r="CG26">
        <v>3306.0387604758498</v>
      </c>
      <c r="CH26">
        <v>3740.30185102315</v>
      </c>
      <c r="CJ26" s="5" t="s">
        <v>49</v>
      </c>
      <c r="CK26" s="7">
        <v>3303.5839221943402</v>
      </c>
      <c r="CL26" s="7">
        <v>2834.2661049449598</v>
      </c>
      <c r="CM26" s="7">
        <v>3228</v>
      </c>
      <c r="CN26" s="7">
        <v>0</v>
      </c>
      <c r="CO26" s="7">
        <v>3198.8269158251101</v>
      </c>
      <c r="CP26" s="7">
        <v>3522</v>
      </c>
    </row>
    <row r="27" spans="1:94" x14ac:dyDescent="0.25">
      <c r="D27">
        <v>26</v>
      </c>
      <c r="E27" t="s">
        <v>52</v>
      </c>
      <c r="F27" s="3">
        <v>42057</v>
      </c>
      <c r="G27" t="s">
        <v>54</v>
      </c>
      <c r="H27" t="s">
        <v>48</v>
      </c>
      <c r="I27">
        <v>3276</v>
      </c>
      <c r="J27">
        <v>4025</v>
      </c>
      <c r="K27">
        <v>3365</v>
      </c>
      <c r="L27">
        <v>3660</v>
      </c>
      <c r="M27">
        <v>3585.8793582580802</v>
      </c>
      <c r="N27">
        <v>3746.6690197457001</v>
      </c>
      <c r="O27" t="s">
        <v>48</v>
      </c>
      <c r="P27" t="s">
        <v>48</v>
      </c>
      <c r="Q27" t="s">
        <v>48</v>
      </c>
      <c r="R27" t="s">
        <v>48</v>
      </c>
      <c r="S27">
        <v>3607</v>
      </c>
      <c r="T27">
        <v>3522</v>
      </c>
      <c r="U27">
        <v>3250</v>
      </c>
      <c r="V27">
        <v>3549</v>
      </c>
      <c r="W27">
        <v>3556</v>
      </c>
      <c r="X27">
        <v>3631</v>
      </c>
      <c r="Y27">
        <v>3525</v>
      </c>
      <c r="Z27">
        <v>3739</v>
      </c>
      <c r="AA27">
        <v>3524</v>
      </c>
      <c r="AB27">
        <v>3506</v>
      </c>
      <c r="AC27">
        <v>3475</v>
      </c>
      <c r="AD27">
        <v>3495</v>
      </c>
      <c r="AE27">
        <v>3754.03940855582</v>
      </c>
      <c r="AF27">
        <v>3617</v>
      </c>
      <c r="AG27">
        <v>3429</v>
      </c>
      <c r="AH27">
        <v>3467</v>
      </c>
      <c r="AI27">
        <v>3391</v>
      </c>
      <c r="AJ27">
        <v>3414</v>
      </c>
      <c r="AK27">
        <v>3544</v>
      </c>
      <c r="AL27">
        <v>3502</v>
      </c>
      <c r="AM27">
        <v>3496.7353921352101</v>
      </c>
      <c r="AN27">
        <v>3465</v>
      </c>
      <c r="AO27">
        <v>3468</v>
      </c>
      <c r="AP27">
        <v>3662</v>
      </c>
      <c r="AQ27">
        <v>3595</v>
      </c>
      <c r="AR27">
        <v>3436</v>
      </c>
      <c r="AS27">
        <v>3428</v>
      </c>
      <c r="AT27">
        <v>3478</v>
      </c>
      <c r="AU27">
        <v>3559</v>
      </c>
      <c r="AV27">
        <v>3406</v>
      </c>
      <c r="AW27">
        <v>3674</v>
      </c>
      <c r="AX27">
        <v>3250</v>
      </c>
      <c r="AY27">
        <v>3386.65574098771</v>
      </c>
      <c r="AZ27">
        <v>3398.65095540935</v>
      </c>
      <c r="BA27">
        <v>3407.4314868544702</v>
      </c>
      <c r="BB27">
        <v>2941.18804040445</v>
      </c>
      <c r="BC27">
        <v>3743.31631483617</v>
      </c>
      <c r="BD27">
        <v>3927</v>
      </c>
      <c r="BE27">
        <v>3756</v>
      </c>
      <c r="BF27">
        <v>3899</v>
      </c>
      <c r="BG27">
        <v>4054</v>
      </c>
      <c r="BH27">
        <v>3995</v>
      </c>
      <c r="BI27">
        <v>4016</v>
      </c>
      <c r="BJ27">
        <v>3861.6699166667499</v>
      </c>
      <c r="BK27">
        <v>3774</v>
      </c>
      <c r="BL27">
        <v>3652</v>
      </c>
      <c r="BM27">
        <v>3445</v>
      </c>
      <c r="BN27">
        <v>3678</v>
      </c>
      <c r="BO27">
        <v>3694</v>
      </c>
      <c r="BP27">
        <v>3740</v>
      </c>
      <c r="BQ27">
        <v>3726</v>
      </c>
      <c r="BR27">
        <v>3543.6037697935799</v>
      </c>
      <c r="BS27">
        <v>3520</v>
      </c>
      <c r="BT27">
        <v>3627</v>
      </c>
      <c r="BU27">
        <v>3808</v>
      </c>
      <c r="BV27">
        <v>3536</v>
      </c>
      <c r="BW27">
        <v>3691</v>
      </c>
      <c r="BX27">
        <v>3512</v>
      </c>
      <c r="BY27">
        <v>3528</v>
      </c>
      <c r="BZ27">
        <v>3403</v>
      </c>
      <c r="CA27">
        <v>3288</v>
      </c>
      <c r="CB27">
        <v>3529</v>
      </c>
      <c r="CC27">
        <v>3141</v>
      </c>
      <c r="CD27">
        <v>3485</v>
      </c>
      <c r="CE27">
        <v>3504</v>
      </c>
      <c r="CF27">
        <v>3527</v>
      </c>
      <c r="CG27">
        <v>3306.0387604758498</v>
      </c>
      <c r="CH27">
        <v>3740.30185102315</v>
      </c>
      <c r="CJ27" s="5" t="s">
        <v>50</v>
      </c>
      <c r="CK27" s="7">
        <v>3370.7024892081199</v>
      </c>
      <c r="CL27" s="7">
        <v>2834.2661049449598</v>
      </c>
      <c r="CM27" s="7">
        <v>3290</v>
      </c>
      <c r="CN27" s="7">
        <v>0</v>
      </c>
      <c r="CO27" s="7">
        <v>3239.9477516545799</v>
      </c>
      <c r="CP27" s="7">
        <v>3614</v>
      </c>
    </row>
    <row r="28" spans="1:94" x14ac:dyDescent="0.25">
      <c r="D28">
        <v>27</v>
      </c>
      <c r="E28" t="s">
        <v>52</v>
      </c>
      <c r="F28" s="3">
        <v>42057</v>
      </c>
      <c r="G28" t="s">
        <v>55</v>
      </c>
      <c r="H28" t="s">
        <v>48</v>
      </c>
      <c r="I28">
        <v>3311</v>
      </c>
      <c r="J28">
        <v>4136</v>
      </c>
      <c r="K28">
        <v>3440</v>
      </c>
      <c r="L28">
        <v>3795</v>
      </c>
      <c r="M28">
        <v>3616.3422465920498</v>
      </c>
      <c r="N28">
        <v>3801.1155754476599</v>
      </c>
      <c r="O28" t="s">
        <v>48</v>
      </c>
      <c r="P28" t="s">
        <v>48</v>
      </c>
      <c r="Q28" t="s">
        <v>48</v>
      </c>
      <c r="R28" t="s">
        <v>48</v>
      </c>
      <c r="S28">
        <v>3694</v>
      </c>
      <c r="T28">
        <v>3612</v>
      </c>
      <c r="U28">
        <v>3307</v>
      </c>
      <c r="V28">
        <v>3605</v>
      </c>
      <c r="W28">
        <v>3609</v>
      </c>
      <c r="X28">
        <v>3626</v>
      </c>
      <c r="Y28">
        <v>3537</v>
      </c>
      <c r="Z28">
        <v>3740</v>
      </c>
      <c r="AA28">
        <v>3545</v>
      </c>
      <c r="AB28">
        <v>3508</v>
      </c>
      <c r="AC28">
        <v>3477</v>
      </c>
      <c r="AD28">
        <v>3495</v>
      </c>
      <c r="AE28">
        <v>3754.03940855582</v>
      </c>
      <c r="AF28">
        <v>3617</v>
      </c>
      <c r="AG28">
        <v>3442</v>
      </c>
      <c r="AH28">
        <v>3497</v>
      </c>
      <c r="AI28">
        <v>3407</v>
      </c>
      <c r="AJ28">
        <v>3428</v>
      </c>
      <c r="AK28">
        <v>3562</v>
      </c>
      <c r="AL28">
        <v>3525</v>
      </c>
      <c r="AM28">
        <v>3503.9934131279601</v>
      </c>
      <c r="AN28">
        <v>3467</v>
      </c>
      <c r="AO28">
        <v>3468</v>
      </c>
      <c r="AP28">
        <v>3669</v>
      </c>
      <c r="AQ28">
        <v>3582</v>
      </c>
      <c r="AR28">
        <v>3436</v>
      </c>
      <c r="AS28">
        <v>3456</v>
      </c>
      <c r="AT28">
        <v>3496</v>
      </c>
      <c r="AU28">
        <v>3608</v>
      </c>
      <c r="AV28">
        <v>3452</v>
      </c>
      <c r="AW28">
        <v>3722</v>
      </c>
      <c r="AX28">
        <v>3282</v>
      </c>
      <c r="AY28">
        <v>3443.65574098771</v>
      </c>
      <c r="AZ28">
        <v>3455.65095540935</v>
      </c>
      <c r="BA28">
        <v>3464.4314868544702</v>
      </c>
      <c r="BB28">
        <v>2941.18804040445</v>
      </c>
      <c r="BC28">
        <v>3743.31631483617</v>
      </c>
      <c r="BD28">
        <v>3960</v>
      </c>
      <c r="BE28">
        <v>3766</v>
      </c>
      <c r="BF28">
        <v>3933</v>
      </c>
      <c r="BG28">
        <v>4058</v>
      </c>
      <c r="BH28">
        <v>3995</v>
      </c>
      <c r="BI28">
        <v>4016</v>
      </c>
      <c r="BJ28">
        <v>3861.6699166667499</v>
      </c>
      <c r="BK28">
        <v>3774</v>
      </c>
      <c r="BL28">
        <v>3666</v>
      </c>
      <c r="BM28">
        <v>3470</v>
      </c>
      <c r="BN28">
        <v>3703</v>
      </c>
      <c r="BO28">
        <v>3712</v>
      </c>
      <c r="BP28">
        <v>3760</v>
      </c>
      <c r="BQ28">
        <v>3749</v>
      </c>
      <c r="BR28">
        <v>3552.1644110083398</v>
      </c>
      <c r="BS28">
        <v>3529</v>
      </c>
      <c r="BT28">
        <v>3627</v>
      </c>
      <c r="BU28">
        <v>3808</v>
      </c>
      <c r="BV28">
        <v>3523</v>
      </c>
      <c r="BW28">
        <v>3691</v>
      </c>
      <c r="BX28">
        <v>3538</v>
      </c>
      <c r="BY28">
        <v>3547</v>
      </c>
      <c r="BZ28">
        <v>3450</v>
      </c>
      <c r="CA28">
        <v>3333</v>
      </c>
      <c r="CB28">
        <v>3576</v>
      </c>
      <c r="CC28">
        <v>3172</v>
      </c>
      <c r="CD28">
        <v>3542</v>
      </c>
      <c r="CE28">
        <v>3561</v>
      </c>
      <c r="CF28">
        <v>3584</v>
      </c>
      <c r="CG28">
        <v>3306.0387604758498</v>
      </c>
      <c r="CH28">
        <v>3740.30185102315</v>
      </c>
      <c r="CJ28" s="5" t="s">
        <v>51</v>
      </c>
      <c r="CK28" s="7">
        <v>3419.5875827118998</v>
      </c>
      <c r="CL28" s="7">
        <v>2834.2661049449598</v>
      </c>
      <c r="CM28" s="7">
        <v>3410</v>
      </c>
      <c r="CN28" s="7">
        <v>0</v>
      </c>
      <c r="CO28" s="7">
        <v>3372.4787026901399</v>
      </c>
      <c r="CP28" s="7">
        <v>3627</v>
      </c>
    </row>
    <row r="29" spans="1:94" x14ac:dyDescent="0.25">
      <c r="D29">
        <v>28</v>
      </c>
      <c r="E29" t="s">
        <v>52</v>
      </c>
      <c r="F29" s="3">
        <v>42057</v>
      </c>
      <c r="G29" t="s">
        <v>56</v>
      </c>
      <c r="H29" t="s">
        <v>48</v>
      </c>
      <c r="I29">
        <v>3436</v>
      </c>
      <c r="J29">
        <v>4266</v>
      </c>
      <c r="K29">
        <v>3513</v>
      </c>
      <c r="L29">
        <v>4090</v>
      </c>
      <c r="M29">
        <v>3673.4782470690002</v>
      </c>
      <c r="N29">
        <v>3855.1535247093402</v>
      </c>
      <c r="O29" t="s">
        <v>48</v>
      </c>
      <c r="P29" t="s">
        <v>48</v>
      </c>
      <c r="Q29" t="s">
        <v>48</v>
      </c>
      <c r="R29" t="s">
        <v>48</v>
      </c>
      <c r="S29">
        <v>3822</v>
      </c>
      <c r="T29">
        <v>3740</v>
      </c>
      <c r="U29">
        <v>3452</v>
      </c>
      <c r="V29">
        <v>3724</v>
      </c>
      <c r="W29">
        <v>3734</v>
      </c>
      <c r="X29">
        <v>3612</v>
      </c>
      <c r="Y29">
        <v>3547</v>
      </c>
      <c r="Z29">
        <v>3740</v>
      </c>
      <c r="AA29">
        <v>3556</v>
      </c>
      <c r="AB29">
        <v>3510</v>
      </c>
      <c r="AC29">
        <v>3477</v>
      </c>
      <c r="AD29">
        <v>3495</v>
      </c>
      <c r="AE29">
        <v>3835.1880504652199</v>
      </c>
      <c r="AF29">
        <v>3697</v>
      </c>
      <c r="AG29">
        <v>3452</v>
      </c>
      <c r="AH29">
        <v>3506</v>
      </c>
      <c r="AI29">
        <v>3417</v>
      </c>
      <c r="AJ29">
        <v>3433</v>
      </c>
      <c r="AK29">
        <v>3568</v>
      </c>
      <c r="AL29">
        <v>3537</v>
      </c>
      <c r="AM29">
        <v>3517.31708230806</v>
      </c>
      <c r="AN29">
        <v>3479</v>
      </c>
      <c r="AO29">
        <v>3468</v>
      </c>
      <c r="AP29">
        <v>3742</v>
      </c>
      <c r="AQ29">
        <v>3689</v>
      </c>
      <c r="AR29">
        <v>3436</v>
      </c>
      <c r="AS29">
        <v>3478</v>
      </c>
      <c r="AT29">
        <v>3524</v>
      </c>
      <c r="AU29">
        <v>3668</v>
      </c>
      <c r="AV29">
        <v>3524</v>
      </c>
      <c r="AW29">
        <v>3790</v>
      </c>
      <c r="AX29">
        <v>3344</v>
      </c>
      <c r="AY29">
        <v>3588.65574098771</v>
      </c>
      <c r="AZ29">
        <v>3600.65095540935</v>
      </c>
      <c r="BA29">
        <v>3609.4314868544702</v>
      </c>
      <c r="BB29">
        <v>2941.18804040445</v>
      </c>
      <c r="BC29">
        <v>3743.31631483617</v>
      </c>
      <c r="BD29">
        <v>3966</v>
      </c>
      <c r="BE29">
        <v>3769</v>
      </c>
      <c r="BF29">
        <v>3938</v>
      </c>
      <c r="BG29">
        <v>4062</v>
      </c>
      <c r="BH29">
        <v>3995</v>
      </c>
      <c r="BI29">
        <v>4016</v>
      </c>
      <c r="BJ29">
        <v>3945.1451376582299</v>
      </c>
      <c r="BK29">
        <v>3858</v>
      </c>
      <c r="BL29">
        <v>3677</v>
      </c>
      <c r="BM29">
        <v>3481</v>
      </c>
      <c r="BN29">
        <v>3713</v>
      </c>
      <c r="BO29">
        <v>3722</v>
      </c>
      <c r="BP29">
        <v>3768</v>
      </c>
      <c r="BQ29">
        <v>3764</v>
      </c>
      <c r="BR29">
        <v>3564.7322349296701</v>
      </c>
      <c r="BS29">
        <v>3543</v>
      </c>
      <c r="BT29">
        <v>3627</v>
      </c>
      <c r="BU29">
        <v>3883</v>
      </c>
      <c r="BV29">
        <v>3621</v>
      </c>
      <c r="BW29">
        <v>3691</v>
      </c>
      <c r="BX29">
        <v>3556</v>
      </c>
      <c r="BY29">
        <v>3572</v>
      </c>
      <c r="BZ29">
        <v>3507</v>
      </c>
      <c r="CA29">
        <v>3401</v>
      </c>
      <c r="CB29">
        <v>3640</v>
      </c>
      <c r="CC29">
        <v>3232</v>
      </c>
      <c r="CD29">
        <v>3687</v>
      </c>
      <c r="CE29">
        <v>3706</v>
      </c>
      <c r="CF29">
        <v>3729</v>
      </c>
      <c r="CG29">
        <v>3306.0387604758498</v>
      </c>
      <c r="CH29">
        <v>3740.30185102315</v>
      </c>
      <c r="CJ29" s="5" t="s">
        <v>53</v>
      </c>
      <c r="CK29" s="7">
        <v>3515.85147025676</v>
      </c>
      <c r="CL29" s="7">
        <v>2941.18804040445</v>
      </c>
      <c r="CM29" s="7">
        <v>3521</v>
      </c>
      <c r="CN29" s="7">
        <v>0</v>
      </c>
      <c r="CO29" s="7">
        <v>3566.64754933225</v>
      </c>
      <c r="CP29" s="7">
        <v>3870</v>
      </c>
    </row>
    <row r="30" spans="1:94" x14ac:dyDescent="0.25">
      <c r="D30">
        <v>29</v>
      </c>
      <c r="E30" t="s">
        <v>52</v>
      </c>
      <c r="F30" s="3">
        <v>42057</v>
      </c>
      <c r="G30" t="s">
        <v>57</v>
      </c>
      <c r="H30" t="s">
        <v>48</v>
      </c>
      <c r="I30">
        <v>3478</v>
      </c>
      <c r="J30">
        <v>4478</v>
      </c>
      <c r="K30">
        <v>3590</v>
      </c>
      <c r="L30">
        <v>4609</v>
      </c>
      <c r="M30">
        <v>3721.4180504005699</v>
      </c>
      <c r="N30">
        <v>3947.7700981322</v>
      </c>
      <c r="O30" t="s">
        <v>48</v>
      </c>
      <c r="P30" t="s">
        <v>48</v>
      </c>
      <c r="Q30" t="s">
        <v>48</v>
      </c>
      <c r="R30" t="s">
        <v>48</v>
      </c>
      <c r="S30">
        <v>4024</v>
      </c>
      <c r="T30">
        <v>3959</v>
      </c>
      <c r="U30">
        <v>3513</v>
      </c>
      <c r="V30">
        <v>3843</v>
      </c>
      <c r="W30">
        <v>3866</v>
      </c>
      <c r="X30">
        <v>3664</v>
      </c>
      <c r="Y30">
        <v>3567</v>
      </c>
      <c r="Z30">
        <v>4377</v>
      </c>
      <c r="AA30">
        <v>3579</v>
      </c>
      <c r="AB30">
        <v>3535</v>
      </c>
      <c r="AC30">
        <v>3569</v>
      </c>
      <c r="AD30">
        <v>3576</v>
      </c>
      <c r="AE30">
        <v>3855.9732953715102</v>
      </c>
      <c r="AF30">
        <v>3742</v>
      </c>
      <c r="AG30">
        <v>3415</v>
      </c>
      <c r="AH30">
        <v>4337</v>
      </c>
      <c r="AI30">
        <v>3441</v>
      </c>
      <c r="AJ30">
        <v>3393</v>
      </c>
      <c r="AK30">
        <v>3591</v>
      </c>
      <c r="AL30">
        <v>3587</v>
      </c>
      <c r="AM30">
        <v>3526.5110892329999</v>
      </c>
      <c r="AN30">
        <v>3493</v>
      </c>
      <c r="AO30">
        <v>3442</v>
      </c>
      <c r="AP30">
        <v>3805</v>
      </c>
      <c r="AQ30">
        <v>3841</v>
      </c>
      <c r="AR30">
        <v>3442</v>
      </c>
      <c r="AS30">
        <v>3520</v>
      </c>
      <c r="AT30">
        <v>3559</v>
      </c>
      <c r="AU30">
        <v>3741</v>
      </c>
      <c r="AV30">
        <v>3567</v>
      </c>
      <c r="AW30">
        <v>3917</v>
      </c>
      <c r="AX30">
        <v>3415</v>
      </c>
      <c r="AY30">
        <v>3643.67531411238</v>
      </c>
      <c r="AZ30">
        <v>3652.6683094005102</v>
      </c>
      <c r="BA30">
        <v>3674.3272459824798</v>
      </c>
      <c r="BB30">
        <v>3235.8636567696199</v>
      </c>
      <c r="BC30">
        <v>3729.4255703917302</v>
      </c>
      <c r="BD30">
        <v>3939</v>
      </c>
      <c r="BE30">
        <v>4375</v>
      </c>
      <c r="BF30">
        <v>3922</v>
      </c>
      <c r="BG30">
        <v>4062</v>
      </c>
      <c r="BH30">
        <v>4004</v>
      </c>
      <c r="BI30">
        <v>4023</v>
      </c>
      <c r="BJ30">
        <v>4082.3992314945599</v>
      </c>
      <c r="BK30">
        <v>4041</v>
      </c>
      <c r="BL30">
        <v>3679</v>
      </c>
      <c r="BM30">
        <v>4386</v>
      </c>
      <c r="BN30">
        <v>3691</v>
      </c>
      <c r="BO30">
        <v>3712</v>
      </c>
      <c r="BP30">
        <v>3791</v>
      </c>
      <c r="BQ30">
        <v>3765</v>
      </c>
      <c r="BR30">
        <v>3590.6599600578602</v>
      </c>
      <c r="BS30">
        <v>3583</v>
      </c>
      <c r="BT30">
        <v>3598</v>
      </c>
      <c r="BU30">
        <v>3939</v>
      </c>
      <c r="BV30">
        <v>3528</v>
      </c>
      <c r="BW30">
        <v>3738</v>
      </c>
      <c r="BX30">
        <v>3591</v>
      </c>
      <c r="BY30">
        <v>3582</v>
      </c>
      <c r="BZ30">
        <v>3605</v>
      </c>
      <c r="CA30">
        <v>3490</v>
      </c>
      <c r="CB30">
        <v>3712</v>
      </c>
      <c r="CC30">
        <v>3295</v>
      </c>
      <c r="CD30">
        <v>3777</v>
      </c>
      <c r="CE30">
        <v>3792</v>
      </c>
      <c r="CF30">
        <v>3821</v>
      </c>
      <c r="CG30">
        <v>3327.3175961038301</v>
      </c>
      <c r="CH30">
        <v>3730.2645216309402</v>
      </c>
      <c r="CJ30" s="5" t="s">
        <v>54</v>
      </c>
      <c r="CK30" s="7">
        <v>3585.8793582580802</v>
      </c>
      <c r="CL30" s="7">
        <v>2941.18804040445</v>
      </c>
      <c r="CM30" s="7">
        <v>3556</v>
      </c>
      <c r="CN30" s="7">
        <v>0</v>
      </c>
      <c r="CO30" s="7">
        <v>3746.6690197457001</v>
      </c>
      <c r="CP30" s="7">
        <v>4025</v>
      </c>
    </row>
    <row r="31" spans="1:94" x14ac:dyDescent="0.25">
      <c r="A31" s="14" t="s">
        <v>201</v>
      </c>
      <c r="D31">
        <v>30</v>
      </c>
      <c r="E31" t="s">
        <v>52</v>
      </c>
      <c r="F31" s="3">
        <v>42057</v>
      </c>
      <c r="G31" t="s">
        <v>58</v>
      </c>
      <c r="H31" t="s">
        <v>48</v>
      </c>
      <c r="I31">
        <v>3494</v>
      </c>
      <c r="J31">
        <v>4567</v>
      </c>
      <c r="K31">
        <v>3621</v>
      </c>
      <c r="L31">
        <v>4577</v>
      </c>
      <c r="M31">
        <v>3730.8515905960098</v>
      </c>
      <c r="N31">
        <v>4000.23309794735</v>
      </c>
      <c r="O31" t="s">
        <v>48</v>
      </c>
      <c r="P31" t="s">
        <v>48</v>
      </c>
      <c r="Q31" t="s">
        <v>48</v>
      </c>
      <c r="R31" t="s">
        <v>48</v>
      </c>
      <c r="S31">
        <v>4081</v>
      </c>
      <c r="T31">
        <v>4019</v>
      </c>
      <c r="U31">
        <v>3580</v>
      </c>
      <c r="V31">
        <v>3875</v>
      </c>
      <c r="W31">
        <v>3856</v>
      </c>
      <c r="X31">
        <v>3774</v>
      </c>
      <c r="Y31">
        <v>3567</v>
      </c>
      <c r="Z31">
        <v>4377</v>
      </c>
      <c r="AA31">
        <v>3579</v>
      </c>
      <c r="AB31">
        <v>3535</v>
      </c>
      <c r="AC31">
        <v>3569</v>
      </c>
      <c r="AD31">
        <v>3576</v>
      </c>
      <c r="AE31">
        <v>3855.9732953715102</v>
      </c>
      <c r="AF31">
        <v>3742</v>
      </c>
      <c r="AG31">
        <v>3415</v>
      </c>
      <c r="AH31">
        <v>4343</v>
      </c>
      <c r="AI31">
        <v>3442</v>
      </c>
      <c r="AJ31">
        <v>3393</v>
      </c>
      <c r="AK31">
        <v>3592</v>
      </c>
      <c r="AL31">
        <v>3589</v>
      </c>
      <c r="AM31">
        <v>3529.1870979915898</v>
      </c>
      <c r="AN31">
        <v>3496</v>
      </c>
      <c r="AO31">
        <v>3442</v>
      </c>
      <c r="AP31">
        <v>3805</v>
      </c>
      <c r="AQ31">
        <v>3841</v>
      </c>
      <c r="AR31">
        <v>3442</v>
      </c>
      <c r="AS31">
        <v>3525</v>
      </c>
      <c r="AT31">
        <v>3566</v>
      </c>
      <c r="AU31">
        <v>3765</v>
      </c>
      <c r="AV31">
        <v>3591</v>
      </c>
      <c r="AW31">
        <v>3941</v>
      </c>
      <c r="AX31">
        <v>3440</v>
      </c>
      <c r="AY31">
        <v>3710.67531411238</v>
      </c>
      <c r="AZ31">
        <v>3719.6683094005102</v>
      </c>
      <c r="BA31">
        <v>3741.3272459824798</v>
      </c>
      <c r="BB31">
        <v>3235.8636567696199</v>
      </c>
      <c r="BC31">
        <v>3729.4255703917302</v>
      </c>
      <c r="BD31">
        <v>3939</v>
      </c>
      <c r="BE31">
        <v>4375</v>
      </c>
      <c r="BF31">
        <v>3922</v>
      </c>
      <c r="BG31">
        <v>4062</v>
      </c>
      <c r="BH31">
        <v>4004</v>
      </c>
      <c r="BI31">
        <v>4023</v>
      </c>
      <c r="BJ31">
        <v>4082.3992314945599</v>
      </c>
      <c r="BK31">
        <v>4041</v>
      </c>
      <c r="BL31">
        <v>3679</v>
      </c>
      <c r="BM31">
        <v>4395</v>
      </c>
      <c r="BN31">
        <v>3693</v>
      </c>
      <c r="BO31">
        <v>3714</v>
      </c>
      <c r="BP31">
        <v>3792</v>
      </c>
      <c r="BQ31">
        <v>3766</v>
      </c>
      <c r="BR31">
        <v>3591.49516842702</v>
      </c>
      <c r="BS31">
        <v>3583</v>
      </c>
      <c r="BT31">
        <v>3598</v>
      </c>
      <c r="BU31">
        <v>3939</v>
      </c>
      <c r="BV31">
        <v>3528</v>
      </c>
      <c r="BW31">
        <v>3738</v>
      </c>
      <c r="BX31">
        <v>3596</v>
      </c>
      <c r="BY31">
        <v>3584</v>
      </c>
      <c r="BZ31">
        <v>3628</v>
      </c>
      <c r="CA31">
        <v>3513</v>
      </c>
      <c r="CB31">
        <v>3735</v>
      </c>
      <c r="CC31">
        <v>3319</v>
      </c>
      <c r="CD31">
        <v>3844</v>
      </c>
      <c r="CE31">
        <v>3859</v>
      </c>
      <c r="CF31">
        <v>3888</v>
      </c>
      <c r="CG31">
        <v>3327.3175961038301</v>
      </c>
      <c r="CH31">
        <v>3730.2645216309402</v>
      </c>
      <c r="CJ31" s="5" t="s">
        <v>55</v>
      </c>
      <c r="CK31" s="7">
        <v>3616.3422465920498</v>
      </c>
      <c r="CL31" s="7">
        <v>2941.18804040445</v>
      </c>
      <c r="CM31" s="7">
        <v>3609</v>
      </c>
      <c r="CN31" s="7">
        <v>0</v>
      </c>
      <c r="CO31" s="7">
        <v>3801.1155754476599</v>
      </c>
      <c r="CP31" s="7">
        <v>4136</v>
      </c>
    </row>
    <row r="32" spans="1:94" x14ac:dyDescent="0.25">
      <c r="D32">
        <v>31</v>
      </c>
      <c r="E32" t="s">
        <v>52</v>
      </c>
      <c r="F32" s="3">
        <v>42057</v>
      </c>
      <c r="G32" t="s">
        <v>59</v>
      </c>
      <c r="H32" t="s">
        <v>48</v>
      </c>
      <c r="I32">
        <v>3362</v>
      </c>
      <c r="J32">
        <v>4602</v>
      </c>
      <c r="K32">
        <v>3600</v>
      </c>
      <c r="L32">
        <v>4631</v>
      </c>
      <c r="M32">
        <v>3680.4993626513801</v>
      </c>
      <c r="N32">
        <v>4013.9765918708599</v>
      </c>
      <c r="O32" t="s">
        <v>48</v>
      </c>
      <c r="P32" t="s">
        <v>48</v>
      </c>
      <c r="Q32" t="s">
        <v>48</v>
      </c>
      <c r="R32" t="s">
        <v>48</v>
      </c>
      <c r="S32">
        <v>4055</v>
      </c>
      <c r="T32">
        <v>3999</v>
      </c>
      <c r="U32">
        <v>3490</v>
      </c>
      <c r="V32">
        <v>3754</v>
      </c>
      <c r="W32">
        <v>3764</v>
      </c>
      <c r="X32">
        <v>3750</v>
      </c>
      <c r="Y32">
        <v>3567</v>
      </c>
      <c r="Z32">
        <v>4377</v>
      </c>
      <c r="AA32">
        <v>3579</v>
      </c>
      <c r="AB32">
        <v>3535</v>
      </c>
      <c r="AC32">
        <v>3569</v>
      </c>
      <c r="AD32">
        <v>3576</v>
      </c>
      <c r="AE32">
        <v>3835.0068866512702</v>
      </c>
      <c r="AF32">
        <v>3732</v>
      </c>
      <c r="AG32">
        <v>3415</v>
      </c>
      <c r="AH32">
        <v>4348</v>
      </c>
      <c r="AI32">
        <v>3443</v>
      </c>
      <c r="AJ32">
        <v>3393</v>
      </c>
      <c r="AK32">
        <v>3592</v>
      </c>
      <c r="AL32">
        <v>3589</v>
      </c>
      <c r="AM32">
        <v>3515.6506236719902</v>
      </c>
      <c r="AN32">
        <v>3482</v>
      </c>
      <c r="AO32">
        <v>3442</v>
      </c>
      <c r="AP32">
        <v>3795</v>
      </c>
      <c r="AQ32">
        <v>3815</v>
      </c>
      <c r="AR32">
        <v>3442</v>
      </c>
      <c r="AS32">
        <v>3502</v>
      </c>
      <c r="AT32">
        <v>3531</v>
      </c>
      <c r="AU32">
        <v>3758</v>
      </c>
      <c r="AV32">
        <v>3554</v>
      </c>
      <c r="AW32">
        <v>3920</v>
      </c>
      <c r="AX32">
        <v>3398</v>
      </c>
      <c r="AY32">
        <v>3620.67531411238</v>
      </c>
      <c r="AZ32">
        <v>3629.6683094005102</v>
      </c>
      <c r="BA32">
        <v>3651.3272459824798</v>
      </c>
      <c r="BB32">
        <v>3235.8636567696199</v>
      </c>
      <c r="BC32">
        <v>3729.4255703917302</v>
      </c>
      <c r="BD32">
        <v>3939</v>
      </c>
      <c r="BE32">
        <v>4375</v>
      </c>
      <c r="BF32">
        <v>3922</v>
      </c>
      <c r="BG32">
        <v>4062</v>
      </c>
      <c r="BH32">
        <v>4004</v>
      </c>
      <c r="BI32">
        <v>4023</v>
      </c>
      <c r="BJ32">
        <v>4066.4064299638899</v>
      </c>
      <c r="BK32">
        <v>4030</v>
      </c>
      <c r="BL32">
        <v>3680</v>
      </c>
      <c r="BM32">
        <v>4396</v>
      </c>
      <c r="BN32">
        <v>3693</v>
      </c>
      <c r="BO32">
        <v>3714</v>
      </c>
      <c r="BP32">
        <v>3791</v>
      </c>
      <c r="BQ32">
        <v>3767</v>
      </c>
      <c r="BR32">
        <v>3578.6922923298898</v>
      </c>
      <c r="BS32">
        <v>3567</v>
      </c>
      <c r="BT32">
        <v>3598</v>
      </c>
      <c r="BU32">
        <v>3929</v>
      </c>
      <c r="BV32">
        <v>3509</v>
      </c>
      <c r="BW32">
        <v>3738</v>
      </c>
      <c r="BX32">
        <v>3574</v>
      </c>
      <c r="BY32">
        <v>3558</v>
      </c>
      <c r="BZ32">
        <v>3622</v>
      </c>
      <c r="CA32">
        <v>3477</v>
      </c>
      <c r="CB32">
        <v>3715</v>
      </c>
      <c r="CC32">
        <v>3278</v>
      </c>
      <c r="CD32">
        <v>3754</v>
      </c>
      <c r="CE32">
        <v>3769</v>
      </c>
      <c r="CF32">
        <v>3798</v>
      </c>
      <c r="CG32">
        <v>3327.3175961038301</v>
      </c>
      <c r="CH32">
        <v>3730.2645216309402</v>
      </c>
      <c r="CJ32" s="5" t="s">
        <v>56</v>
      </c>
      <c r="CK32" s="7">
        <v>3673.4782470690002</v>
      </c>
      <c r="CL32" s="7">
        <v>2941.18804040445</v>
      </c>
      <c r="CM32" s="7">
        <v>3734</v>
      </c>
      <c r="CN32" s="7">
        <v>0</v>
      </c>
      <c r="CO32" s="7">
        <v>3855.1535247093402</v>
      </c>
      <c r="CP32" s="7">
        <v>4266</v>
      </c>
    </row>
    <row r="33" spans="4:94" x14ac:dyDescent="0.25">
      <c r="D33">
        <v>32</v>
      </c>
      <c r="E33" t="s">
        <v>52</v>
      </c>
      <c r="F33" s="3">
        <v>42057</v>
      </c>
      <c r="G33" t="s">
        <v>60</v>
      </c>
      <c r="H33" t="s">
        <v>48</v>
      </c>
      <c r="I33">
        <v>3331</v>
      </c>
      <c r="J33">
        <v>4569</v>
      </c>
      <c r="K33">
        <v>3567</v>
      </c>
      <c r="L33">
        <v>4700</v>
      </c>
      <c r="M33">
        <v>3664.76495255277</v>
      </c>
      <c r="N33">
        <v>3998.87678065305</v>
      </c>
      <c r="O33" t="s">
        <v>48</v>
      </c>
      <c r="P33" t="s">
        <v>48</v>
      </c>
      <c r="Q33" t="s">
        <v>48</v>
      </c>
      <c r="R33" t="s">
        <v>48</v>
      </c>
      <c r="S33">
        <v>4034</v>
      </c>
      <c r="T33">
        <v>3978</v>
      </c>
      <c r="U33">
        <v>3479</v>
      </c>
      <c r="V33">
        <v>3716</v>
      </c>
      <c r="W33">
        <v>3715</v>
      </c>
      <c r="X33">
        <v>3765</v>
      </c>
      <c r="Y33">
        <v>3567</v>
      </c>
      <c r="Z33">
        <v>4377</v>
      </c>
      <c r="AA33">
        <v>3579</v>
      </c>
      <c r="AB33">
        <v>3535</v>
      </c>
      <c r="AC33">
        <v>3569</v>
      </c>
      <c r="AD33">
        <v>3576</v>
      </c>
      <c r="AE33">
        <v>3835.0068866512702</v>
      </c>
      <c r="AF33">
        <v>3732</v>
      </c>
      <c r="AG33">
        <v>3415</v>
      </c>
      <c r="AH33">
        <v>4349</v>
      </c>
      <c r="AI33">
        <v>3443</v>
      </c>
      <c r="AJ33">
        <v>3393</v>
      </c>
      <c r="AK33">
        <v>3591</v>
      </c>
      <c r="AL33">
        <v>3589</v>
      </c>
      <c r="AM33">
        <v>3514.2148081648902</v>
      </c>
      <c r="AN33">
        <v>3481</v>
      </c>
      <c r="AO33">
        <v>3442</v>
      </c>
      <c r="AP33">
        <v>3795</v>
      </c>
      <c r="AQ33">
        <v>3805</v>
      </c>
      <c r="AR33">
        <v>3442</v>
      </c>
      <c r="AS33">
        <v>3500</v>
      </c>
      <c r="AT33">
        <v>3530</v>
      </c>
      <c r="AU33">
        <v>3748</v>
      </c>
      <c r="AV33">
        <v>3538</v>
      </c>
      <c r="AW33">
        <v>3907</v>
      </c>
      <c r="AX33">
        <v>3382</v>
      </c>
      <c r="AY33">
        <v>3609.67531411238</v>
      </c>
      <c r="AZ33">
        <v>3618.6683094005102</v>
      </c>
      <c r="BA33">
        <v>3640.3272459824798</v>
      </c>
      <c r="BB33">
        <v>3235.8636567696199</v>
      </c>
      <c r="BC33">
        <v>3729.4255703917302</v>
      </c>
      <c r="BD33">
        <v>3939</v>
      </c>
      <c r="BE33">
        <v>4375</v>
      </c>
      <c r="BF33">
        <v>3922</v>
      </c>
      <c r="BG33">
        <v>4062</v>
      </c>
      <c r="BH33">
        <v>4004</v>
      </c>
      <c r="BI33">
        <v>4023</v>
      </c>
      <c r="BJ33">
        <v>4066.4064299638899</v>
      </c>
      <c r="BK33">
        <v>4030</v>
      </c>
      <c r="BL33">
        <v>3680</v>
      </c>
      <c r="BM33">
        <v>4396</v>
      </c>
      <c r="BN33">
        <v>3693</v>
      </c>
      <c r="BO33">
        <v>3713</v>
      </c>
      <c r="BP33">
        <v>3791</v>
      </c>
      <c r="BQ33">
        <v>3766</v>
      </c>
      <c r="BR33">
        <v>3576.8469937831101</v>
      </c>
      <c r="BS33">
        <v>3565</v>
      </c>
      <c r="BT33">
        <v>3598</v>
      </c>
      <c r="BU33">
        <v>3929</v>
      </c>
      <c r="BV33">
        <v>3501</v>
      </c>
      <c r="BW33">
        <v>3738</v>
      </c>
      <c r="BX33">
        <v>3572</v>
      </c>
      <c r="BY33">
        <v>3558</v>
      </c>
      <c r="BZ33">
        <v>3611</v>
      </c>
      <c r="CA33">
        <v>3462</v>
      </c>
      <c r="CB33">
        <v>3703</v>
      </c>
      <c r="CC33">
        <v>3263</v>
      </c>
      <c r="CD33">
        <v>3743</v>
      </c>
      <c r="CE33">
        <v>3758</v>
      </c>
      <c r="CF33">
        <v>3787</v>
      </c>
      <c r="CG33">
        <v>3327.3175961038301</v>
      </c>
      <c r="CH33">
        <v>3730.2645216309402</v>
      </c>
      <c r="CJ33" s="5" t="s">
        <v>57</v>
      </c>
      <c r="CK33" s="7">
        <v>3721.4180504005699</v>
      </c>
      <c r="CL33" s="7">
        <v>3235.8636567696199</v>
      </c>
      <c r="CM33" s="7">
        <v>3866</v>
      </c>
      <c r="CN33" s="7">
        <v>0</v>
      </c>
      <c r="CO33" s="7">
        <v>3947.7700981322</v>
      </c>
      <c r="CP33" s="7">
        <v>4478</v>
      </c>
    </row>
    <row r="34" spans="4:94" x14ac:dyDescent="0.25">
      <c r="D34">
        <v>33</v>
      </c>
      <c r="E34" t="s">
        <v>61</v>
      </c>
      <c r="F34" s="3">
        <v>42057</v>
      </c>
      <c r="G34" t="s">
        <v>62</v>
      </c>
      <c r="H34" t="s">
        <v>48</v>
      </c>
      <c r="I34">
        <v>3441</v>
      </c>
      <c r="J34">
        <v>4675</v>
      </c>
      <c r="K34">
        <v>3593</v>
      </c>
      <c r="L34">
        <v>4769</v>
      </c>
      <c r="M34">
        <v>3774.43577034891</v>
      </c>
      <c r="N34">
        <v>4014.8343284860598</v>
      </c>
      <c r="O34" t="s">
        <v>48</v>
      </c>
      <c r="P34" t="s">
        <v>48</v>
      </c>
      <c r="Q34" t="s">
        <v>48</v>
      </c>
      <c r="R34" t="s">
        <v>48</v>
      </c>
      <c r="S34">
        <v>4127</v>
      </c>
      <c r="T34">
        <v>4073</v>
      </c>
      <c r="U34">
        <v>3523</v>
      </c>
      <c r="V34">
        <v>3875</v>
      </c>
      <c r="W34">
        <v>3892</v>
      </c>
      <c r="X34">
        <v>3723</v>
      </c>
      <c r="Y34">
        <v>3572</v>
      </c>
      <c r="Z34">
        <v>4417</v>
      </c>
      <c r="AA34">
        <v>3559</v>
      </c>
      <c r="AB34">
        <v>3485</v>
      </c>
      <c r="AC34">
        <v>3560</v>
      </c>
      <c r="AD34">
        <v>3577</v>
      </c>
      <c r="AE34">
        <v>3782.93088788968</v>
      </c>
      <c r="AF34">
        <v>3751</v>
      </c>
      <c r="AG34">
        <v>3430</v>
      </c>
      <c r="AH34">
        <v>4466</v>
      </c>
      <c r="AI34">
        <v>3461</v>
      </c>
      <c r="AJ34">
        <v>3360</v>
      </c>
      <c r="AK34">
        <v>3574</v>
      </c>
      <c r="AL34">
        <v>3583</v>
      </c>
      <c r="AM34">
        <v>3515.05804312194</v>
      </c>
      <c r="AN34">
        <v>3490</v>
      </c>
      <c r="AO34">
        <v>3443</v>
      </c>
      <c r="AP34">
        <v>3825</v>
      </c>
      <c r="AQ34">
        <v>3811</v>
      </c>
      <c r="AR34">
        <v>3505</v>
      </c>
      <c r="AS34">
        <v>3544</v>
      </c>
      <c r="AT34">
        <v>3554</v>
      </c>
      <c r="AU34">
        <v>3832</v>
      </c>
      <c r="AV34">
        <v>3593</v>
      </c>
      <c r="AW34">
        <v>4006</v>
      </c>
      <c r="AX34">
        <v>3430</v>
      </c>
      <c r="AY34">
        <v>3648.1250712677202</v>
      </c>
      <c r="AZ34">
        <v>3669.93522215041</v>
      </c>
      <c r="BA34">
        <v>3682.68562537356</v>
      </c>
      <c r="BB34">
        <v>4674.4634010642103</v>
      </c>
      <c r="BC34">
        <v>4172.6442063128998</v>
      </c>
      <c r="BD34">
        <v>3953</v>
      </c>
      <c r="BE34">
        <v>4412</v>
      </c>
      <c r="BF34">
        <v>3956</v>
      </c>
      <c r="BG34">
        <v>4082</v>
      </c>
      <c r="BH34">
        <v>4025</v>
      </c>
      <c r="BI34">
        <v>3994</v>
      </c>
      <c r="BJ34">
        <v>4033.4723471840298</v>
      </c>
      <c r="BK34">
        <v>4034</v>
      </c>
      <c r="BL34">
        <v>3685</v>
      </c>
      <c r="BM34">
        <v>4458</v>
      </c>
      <c r="BN34">
        <v>3717</v>
      </c>
      <c r="BO34">
        <v>3764</v>
      </c>
      <c r="BP34">
        <v>3788</v>
      </c>
      <c r="BQ34">
        <v>3809</v>
      </c>
      <c r="BR34">
        <v>3586.6716473145302</v>
      </c>
      <c r="BS34">
        <v>3585</v>
      </c>
      <c r="BT34">
        <v>3647</v>
      </c>
      <c r="BU34">
        <v>3961</v>
      </c>
      <c r="BV34">
        <v>3558</v>
      </c>
      <c r="BW34">
        <v>3742</v>
      </c>
      <c r="BX34">
        <v>3574</v>
      </c>
      <c r="BY34">
        <v>3574</v>
      </c>
      <c r="BZ34">
        <v>3680</v>
      </c>
      <c r="CA34">
        <v>3501</v>
      </c>
      <c r="CB34">
        <v>3812</v>
      </c>
      <c r="CC34">
        <v>3313</v>
      </c>
      <c r="CD34">
        <v>3809</v>
      </c>
      <c r="CE34">
        <v>3828</v>
      </c>
      <c r="CF34">
        <v>3854</v>
      </c>
      <c r="CG34">
        <v>4673.25843164871</v>
      </c>
      <c r="CH34">
        <v>4004.0812630167202</v>
      </c>
      <c r="CJ34" s="5" t="s">
        <v>58</v>
      </c>
      <c r="CK34" s="7">
        <v>3730.8515905960098</v>
      </c>
      <c r="CL34" s="7">
        <v>3235.8636567696199</v>
      </c>
      <c r="CM34" s="7">
        <v>3856</v>
      </c>
      <c r="CN34" s="7">
        <v>0</v>
      </c>
      <c r="CO34" s="7">
        <v>4000.23309794735</v>
      </c>
      <c r="CP34" s="7">
        <v>4567</v>
      </c>
    </row>
    <row r="35" spans="4:94" x14ac:dyDescent="0.25">
      <c r="D35">
        <v>34</v>
      </c>
      <c r="E35" t="s">
        <v>61</v>
      </c>
      <c r="F35" s="3">
        <v>42057</v>
      </c>
      <c r="G35" t="s">
        <v>63</v>
      </c>
      <c r="H35" t="s">
        <v>48</v>
      </c>
      <c r="I35">
        <v>3564</v>
      </c>
      <c r="J35">
        <v>4602</v>
      </c>
      <c r="K35">
        <v>3575</v>
      </c>
      <c r="L35">
        <v>4829</v>
      </c>
      <c r="M35">
        <v>3799.2307250901299</v>
      </c>
      <c r="N35">
        <v>4015.2638486722299</v>
      </c>
      <c r="O35" t="s">
        <v>48</v>
      </c>
      <c r="P35" t="s">
        <v>48</v>
      </c>
      <c r="Q35" t="s">
        <v>48</v>
      </c>
      <c r="R35" t="s">
        <v>48</v>
      </c>
      <c r="S35">
        <v>4154</v>
      </c>
      <c r="T35">
        <v>4094</v>
      </c>
      <c r="U35">
        <v>3603</v>
      </c>
      <c r="V35">
        <v>3907</v>
      </c>
      <c r="W35">
        <v>3920</v>
      </c>
      <c r="X35">
        <v>3750</v>
      </c>
      <c r="Y35">
        <v>3572</v>
      </c>
      <c r="Z35">
        <v>4417</v>
      </c>
      <c r="AA35">
        <v>3559</v>
      </c>
      <c r="AB35">
        <v>3485</v>
      </c>
      <c r="AC35">
        <v>3560</v>
      </c>
      <c r="AD35">
        <v>3577</v>
      </c>
      <c r="AE35">
        <v>3802.5629176388602</v>
      </c>
      <c r="AF35">
        <v>3754</v>
      </c>
      <c r="AG35">
        <v>3431</v>
      </c>
      <c r="AH35">
        <v>4467</v>
      </c>
      <c r="AI35">
        <v>3462</v>
      </c>
      <c r="AJ35">
        <v>3360</v>
      </c>
      <c r="AK35">
        <v>3574</v>
      </c>
      <c r="AL35">
        <v>3584</v>
      </c>
      <c r="AM35">
        <v>3527.76715612108</v>
      </c>
      <c r="AN35">
        <v>3501</v>
      </c>
      <c r="AO35">
        <v>3443</v>
      </c>
      <c r="AP35">
        <v>3835</v>
      </c>
      <c r="AQ35">
        <v>3811</v>
      </c>
      <c r="AR35">
        <v>3505</v>
      </c>
      <c r="AS35">
        <v>3564</v>
      </c>
      <c r="AT35">
        <v>3574</v>
      </c>
      <c r="AU35">
        <v>3832</v>
      </c>
      <c r="AV35">
        <v>3625</v>
      </c>
      <c r="AW35">
        <v>4019</v>
      </c>
      <c r="AX35">
        <v>3468</v>
      </c>
      <c r="AY35">
        <v>3728.1250712677202</v>
      </c>
      <c r="AZ35">
        <v>3749.93522215041</v>
      </c>
      <c r="BA35">
        <v>3762.68562537356</v>
      </c>
      <c r="BB35">
        <v>4674.4634010642103</v>
      </c>
      <c r="BC35">
        <v>4172.6442063128998</v>
      </c>
      <c r="BD35">
        <v>3953</v>
      </c>
      <c r="BE35">
        <v>4412</v>
      </c>
      <c r="BF35">
        <v>3956</v>
      </c>
      <c r="BG35">
        <v>4082</v>
      </c>
      <c r="BH35">
        <v>4025</v>
      </c>
      <c r="BI35">
        <v>3994</v>
      </c>
      <c r="BJ35">
        <v>4048.2181367176499</v>
      </c>
      <c r="BK35">
        <v>4038</v>
      </c>
      <c r="BL35">
        <v>3687</v>
      </c>
      <c r="BM35">
        <v>4459</v>
      </c>
      <c r="BN35">
        <v>3718</v>
      </c>
      <c r="BO35">
        <v>3764</v>
      </c>
      <c r="BP35">
        <v>3789</v>
      </c>
      <c r="BQ35">
        <v>3809</v>
      </c>
      <c r="BR35">
        <v>3595.2485248570001</v>
      </c>
      <c r="BS35">
        <v>3592</v>
      </c>
      <c r="BT35">
        <v>3647</v>
      </c>
      <c r="BU35">
        <v>3972</v>
      </c>
      <c r="BV35">
        <v>3558</v>
      </c>
      <c r="BW35">
        <v>3742</v>
      </c>
      <c r="BX35">
        <v>3600</v>
      </c>
      <c r="BY35">
        <v>3600</v>
      </c>
      <c r="BZ35">
        <v>3680</v>
      </c>
      <c r="CA35">
        <v>3532</v>
      </c>
      <c r="CB35">
        <v>3824</v>
      </c>
      <c r="CC35">
        <v>3350</v>
      </c>
      <c r="CD35">
        <v>3889</v>
      </c>
      <c r="CE35">
        <v>3908</v>
      </c>
      <c r="CF35">
        <v>3934</v>
      </c>
      <c r="CG35">
        <v>4673.25843164871</v>
      </c>
      <c r="CH35">
        <v>4004.0812630167202</v>
      </c>
      <c r="CJ35" s="5" t="s">
        <v>59</v>
      </c>
      <c r="CK35" s="7">
        <v>3680.4993626513801</v>
      </c>
      <c r="CL35" s="7">
        <v>3235.8636567696199</v>
      </c>
      <c r="CM35" s="7">
        <v>3764</v>
      </c>
      <c r="CN35" s="7">
        <v>0</v>
      </c>
      <c r="CO35" s="7">
        <v>4013.9765918708599</v>
      </c>
      <c r="CP35" s="7">
        <v>4602</v>
      </c>
    </row>
    <row r="36" spans="4:94" x14ac:dyDescent="0.25">
      <c r="D36">
        <v>35</v>
      </c>
      <c r="E36" t="s">
        <v>61</v>
      </c>
      <c r="F36" s="3">
        <v>42057</v>
      </c>
      <c r="G36" t="s">
        <v>64</v>
      </c>
      <c r="H36" t="s">
        <v>48</v>
      </c>
      <c r="I36">
        <v>3620</v>
      </c>
      <c r="J36">
        <v>4604</v>
      </c>
      <c r="K36">
        <v>3562</v>
      </c>
      <c r="L36">
        <v>4758</v>
      </c>
      <c r="M36">
        <v>3802.35624825689</v>
      </c>
      <c r="N36">
        <v>3998.3191287965301</v>
      </c>
      <c r="O36" t="s">
        <v>48</v>
      </c>
      <c r="P36" t="s">
        <v>48</v>
      </c>
      <c r="Q36" t="s">
        <v>48</v>
      </c>
      <c r="R36" t="s">
        <v>48</v>
      </c>
      <c r="S36">
        <v>4138</v>
      </c>
      <c r="T36">
        <v>4069</v>
      </c>
      <c r="U36">
        <v>3643</v>
      </c>
      <c r="V36">
        <v>3924</v>
      </c>
      <c r="W36">
        <v>3935</v>
      </c>
      <c r="X36">
        <v>3761</v>
      </c>
      <c r="Y36">
        <v>3572</v>
      </c>
      <c r="Z36">
        <v>4417</v>
      </c>
      <c r="AA36">
        <v>3559</v>
      </c>
      <c r="AB36">
        <v>3485</v>
      </c>
      <c r="AC36">
        <v>3560</v>
      </c>
      <c r="AD36">
        <v>3577</v>
      </c>
      <c r="AE36">
        <v>3793.5145007072701</v>
      </c>
      <c r="AF36">
        <v>3750</v>
      </c>
      <c r="AG36">
        <v>3432</v>
      </c>
      <c r="AH36">
        <v>4466</v>
      </c>
      <c r="AI36">
        <v>3462</v>
      </c>
      <c r="AJ36">
        <v>3360</v>
      </c>
      <c r="AK36">
        <v>3574</v>
      </c>
      <c r="AL36">
        <v>3583</v>
      </c>
      <c r="AM36">
        <v>3534.5075783095599</v>
      </c>
      <c r="AN36">
        <v>3503</v>
      </c>
      <c r="AO36">
        <v>3443</v>
      </c>
      <c r="AP36">
        <v>3821</v>
      </c>
      <c r="AQ36">
        <v>3811</v>
      </c>
      <c r="AR36">
        <v>3505</v>
      </c>
      <c r="AS36">
        <v>3585</v>
      </c>
      <c r="AT36">
        <v>3586</v>
      </c>
      <c r="AU36">
        <v>3840</v>
      </c>
      <c r="AV36">
        <v>3650</v>
      </c>
      <c r="AW36">
        <v>4033</v>
      </c>
      <c r="AX36">
        <v>3498</v>
      </c>
      <c r="AY36">
        <v>3768.1250712677202</v>
      </c>
      <c r="AZ36">
        <v>3789.93522215041</v>
      </c>
      <c r="BA36">
        <v>3802.68562537356</v>
      </c>
      <c r="BB36">
        <v>4674.4634010642103</v>
      </c>
      <c r="BC36">
        <v>4172.6442063128998</v>
      </c>
      <c r="BD36">
        <v>3953</v>
      </c>
      <c r="BE36">
        <v>4412</v>
      </c>
      <c r="BF36">
        <v>3956</v>
      </c>
      <c r="BG36">
        <v>4082</v>
      </c>
      <c r="BH36">
        <v>4025</v>
      </c>
      <c r="BI36">
        <v>3994</v>
      </c>
      <c r="BJ36">
        <v>4038.5851690786099</v>
      </c>
      <c r="BK36">
        <v>4034</v>
      </c>
      <c r="BL36">
        <v>3687</v>
      </c>
      <c r="BM36">
        <v>4458</v>
      </c>
      <c r="BN36">
        <v>3717</v>
      </c>
      <c r="BO36">
        <v>3764</v>
      </c>
      <c r="BP36">
        <v>3789</v>
      </c>
      <c r="BQ36">
        <v>3808</v>
      </c>
      <c r="BR36">
        <v>3600.85338381468</v>
      </c>
      <c r="BS36">
        <v>3593</v>
      </c>
      <c r="BT36">
        <v>3647</v>
      </c>
      <c r="BU36">
        <v>3957</v>
      </c>
      <c r="BV36">
        <v>3558</v>
      </c>
      <c r="BW36">
        <v>3742</v>
      </c>
      <c r="BX36">
        <v>3613</v>
      </c>
      <c r="BY36">
        <v>3611</v>
      </c>
      <c r="BZ36">
        <v>3688</v>
      </c>
      <c r="CA36">
        <v>3557</v>
      </c>
      <c r="CB36">
        <v>3837</v>
      </c>
      <c r="CC36">
        <v>3379</v>
      </c>
      <c r="CD36">
        <v>3929</v>
      </c>
      <c r="CE36">
        <v>3948</v>
      </c>
      <c r="CF36">
        <v>3974</v>
      </c>
      <c r="CG36">
        <v>4673.25843164871</v>
      </c>
      <c r="CH36">
        <v>4004.0812630167202</v>
      </c>
      <c r="CJ36" s="5" t="s">
        <v>60</v>
      </c>
      <c r="CK36" s="7">
        <v>3664.76495255277</v>
      </c>
      <c r="CL36" s="7">
        <v>3235.8636567696199</v>
      </c>
      <c r="CM36" s="7">
        <v>3715</v>
      </c>
      <c r="CN36" s="7">
        <v>0</v>
      </c>
      <c r="CO36" s="7">
        <v>3998.87678065305</v>
      </c>
      <c r="CP36" s="7">
        <v>4569</v>
      </c>
    </row>
    <row r="37" spans="4:94" x14ac:dyDescent="0.25">
      <c r="D37">
        <v>36</v>
      </c>
      <c r="E37" t="s">
        <v>61</v>
      </c>
      <c r="F37" s="3">
        <v>42057</v>
      </c>
      <c r="G37" t="s">
        <v>65</v>
      </c>
      <c r="H37" t="s">
        <v>48</v>
      </c>
      <c r="I37">
        <v>3671</v>
      </c>
      <c r="J37">
        <v>4563</v>
      </c>
      <c r="K37">
        <v>3568</v>
      </c>
      <c r="L37">
        <v>4855</v>
      </c>
      <c r="M37">
        <v>3887.3866111549301</v>
      </c>
      <c r="N37">
        <v>3990.0250655249902</v>
      </c>
      <c r="O37" t="s">
        <v>48</v>
      </c>
      <c r="P37" t="s">
        <v>48</v>
      </c>
      <c r="Q37" t="s">
        <v>48</v>
      </c>
      <c r="R37" t="s">
        <v>48</v>
      </c>
      <c r="S37">
        <v>4134</v>
      </c>
      <c r="T37">
        <v>4059</v>
      </c>
      <c r="U37">
        <v>3688</v>
      </c>
      <c r="V37">
        <v>3978</v>
      </c>
      <c r="W37">
        <v>3954</v>
      </c>
      <c r="X37">
        <v>3744</v>
      </c>
      <c r="Y37">
        <v>3572</v>
      </c>
      <c r="Z37">
        <v>4417</v>
      </c>
      <c r="AA37">
        <v>3559</v>
      </c>
      <c r="AB37">
        <v>3485</v>
      </c>
      <c r="AC37">
        <v>3560</v>
      </c>
      <c r="AD37">
        <v>3577</v>
      </c>
      <c r="AE37">
        <v>4079.1304814300402</v>
      </c>
      <c r="AF37">
        <v>3951</v>
      </c>
      <c r="AG37">
        <v>3432</v>
      </c>
      <c r="AH37">
        <v>4465</v>
      </c>
      <c r="AI37">
        <v>3462</v>
      </c>
      <c r="AJ37">
        <v>3360</v>
      </c>
      <c r="AK37">
        <v>3574</v>
      </c>
      <c r="AL37">
        <v>3583</v>
      </c>
      <c r="AM37">
        <v>3800.7808009775599</v>
      </c>
      <c r="AN37">
        <v>3779</v>
      </c>
      <c r="AO37">
        <v>3443</v>
      </c>
      <c r="AP37">
        <v>4110</v>
      </c>
      <c r="AQ37">
        <v>4099</v>
      </c>
      <c r="AR37">
        <v>3505</v>
      </c>
      <c r="AS37">
        <v>3700</v>
      </c>
      <c r="AT37">
        <v>3763</v>
      </c>
      <c r="AU37">
        <v>3839</v>
      </c>
      <c r="AV37">
        <v>3666</v>
      </c>
      <c r="AW37">
        <v>4037</v>
      </c>
      <c r="AX37">
        <v>3519</v>
      </c>
      <c r="AY37">
        <v>3813.1250712677202</v>
      </c>
      <c r="AZ37">
        <v>3834.93522215041</v>
      </c>
      <c r="BA37">
        <v>3847.68562537356</v>
      </c>
      <c r="BB37">
        <v>4674.4634010642103</v>
      </c>
      <c r="BC37">
        <v>4172.6442063128998</v>
      </c>
      <c r="BD37">
        <v>3953</v>
      </c>
      <c r="BE37">
        <v>4412</v>
      </c>
      <c r="BF37">
        <v>3956</v>
      </c>
      <c r="BG37">
        <v>4082</v>
      </c>
      <c r="BH37">
        <v>4025</v>
      </c>
      <c r="BI37">
        <v>3994</v>
      </c>
      <c r="BJ37">
        <v>4277.2900267332998</v>
      </c>
      <c r="BK37">
        <v>4254</v>
      </c>
      <c r="BL37">
        <v>3687</v>
      </c>
      <c r="BM37">
        <v>4458</v>
      </c>
      <c r="BN37">
        <v>3717</v>
      </c>
      <c r="BO37">
        <v>3764</v>
      </c>
      <c r="BP37">
        <v>3789</v>
      </c>
      <c r="BQ37">
        <v>3809</v>
      </c>
      <c r="BR37">
        <v>3879.2852731733901</v>
      </c>
      <c r="BS37">
        <v>3922</v>
      </c>
      <c r="BT37">
        <v>3647</v>
      </c>
      <c r="BU37">
        <v>4211</v>
      </c>
      <c r="BV37">
        <v>3828</v>
      </c>
      <c r="BW37">
        <v>3742</v>
      </c>
      <c r="BX37">
        <v>3728</v>
      </c>
      <c r="BY37">
        <v>3738</v>
      </c>
      <c r="BZ37">
        <v>3686</v>
      </c>
      <c r="CA37">
        <v>3572</v>
      </c>
      <c r="CB37">
        <v>3841</v>
      </c>
      <c r="CC37">
        <v>3399</v>
      </c>
      <c r="CD37">
        <v>3974</v>
      </c>
      <c r="CE37">
        <v>3993</v>
      </c>
      <c r="CF37">
        <v>4019</v>
      </c>
      <c r="CG37">
        <v>4673.25843164871</v>
      </c>
      <c r="CH37">
        <v>4004.0812630167202</v>
      </c>
      <c r="CJ37" s="5" t="s">
        <v>62</v>
      </c>
      <c r="CK37" s="7">
        <v>3774.43577034891</v>
      </c>
      <c r="CL37" s="7">
        <v>4674.4634010642103</v>
      </c>
      <c r="CM37" s="7">
        <v>3892</v>
      </c>
      <c r="CN37" s="7">
        <v>0</v>
      </c>
      <c r="CO37" s="7">
        <v>4014.8343284860598</v>
      </c>
      <c r="CP37" s="7">
        <v>4675</v>
      </c>
    </row>
    <row r="38" spans="4:94" x14ac:dyDescent="0.25">
      <c r="D38">
        <v>37</v>
      </c>
      <c r="E38" t="s">
        <v>66</v>
      </c>
      <c r="F38" s="3">
        <v>42057</v>
      </c>
      <c r="G38" t="s">
        <v>67</v>
      </c>
      <c r="H38" t="s">
        <v>48</v>
      </c>
      <c r="I38">
        <v>3769</v>
      </c>
      <c r="J38">
        <v>4635</v>
      </c>
      <c r="K38">
        <v>4400</v>
      </c>
      <c r="L38">
        <v>4942</v>
      </c>
      <c r="M38">
        <v>4045.0595426539098</v>
      </c>
      <c r="N38">
        <v>4055.3272045039298</v>
      </c>
      <c r="O38" t="s">
        <v>48</v>
      </c>
      <c r="P38" t="s">
        <v>48</v>
      </c>
      <c r="Q38" t="s">
        <v>48</v>
      </c>
      <c r="R38" t="s">
        <v>48</v>
      </c>
      <c r="S38">
        <v>4285</v>
      </c>
      <c r="T38">
        <v>4205</v>
      </c>
      <c r="U38">
        <v>3824</v>
      </c>
      <c r="V38">
        <v>4106</v>
      </c>
      <c r="W38">
        <v>4124</v>
      </c>
      <c r="X38">
        <v>3792</v>
      </c>
      <c r="Y38">
        <v>3620</v>
      </c>
      <c r="Z38">
        <v>4337</v>
      </c>
      <c r="AA38">
        <v>3581</v>
      </c>
      <c r="AB38">
        <v>3500</v>
      </c>
      <c r="AC38">
        <v>3570</v>
      </c>
      <c r="AD38">
        <v>3542</v>
      </c>
      <c r="AE38">
        <v>4077.67802723662</v>
      </c>
      <c r="AF38">
        <v>4115</v>
      </c>
      <c r="AG38">
        <v>3554</v>
      </c>
      <c r="AH38">
        <v>4410</v>
      </c>
      <c r="AI38">
        <v>3561</v>
      </c>
      <c r="AJ38">
        <v>3443</v>
      </c>
      <c r="AK38">
        <v>3592</v>
      </c>
      <c r="AL38">
        <v>3573</v>
      </c>
      <c r="AM38">
        <v>3895.9244024917298</v>
      </c>
      <c r="AN38">
        <v>3938</v>
      </c>
      <c r="AO38">
        <v>3765</v>
      </c>
      <c r="AP38">
        <v>4117</v>
      </c>
      <c r="AQ38">
        <v>4017</v>
      </c>
      <c r="AR38">
        <v>3838</v>
      </c>
      <c r="AS38">
        <v>3845</v>
      </c>
      <c r="AT38">
        <v>3868</v>
      </c>
      <c r="AU38">
        <v>3952</v>
      </c>
      <c r="AV38">
        <v>3749</v>
      </c>
      <c r="AW38">
        <v>4132</v>
      </c>
      <c r="AX38">
        <v>3572</v>
      </c>
      <c r="AY38">
        <v>3947.4815855933598</v>
      </c>
      <c r="AZ38">
        <v>3971.8234149238201</v>
      </c>
      <c r="BA38">
        <v>3992.6537572266002</v>
      </c>
      <c r="BB38">
        <v>4205.6942805888302</v>
      </c>
      <c r="BC38">
        <v>4212.6898348814002</v>
      </c>
      <c r="BD38">
        <v>4232</v>
      </c>
      <c r="BE38">
        <v>4327</v>
      </c>
      <c r="BF38">
        <v>4176</v>
      </c>
      <c r="BG38">
        <v>4213</v>
      </c>
      <c r="BH38">
        <v>3678</v>
      </c>
      <c r="BI38">
        <v>3637</v>
      </c>
      <c r="BJ38">
        <v>4387.8918828214701</v>
      </c>
      <c r="BK38">
        <v>4394</v>
      </c>
      <c r="BL38">
        <v>3843</v>
      </c>
      <c r="BM38">
        <v>4399</v>
      </c>
      <c r="BN38">
        <v>3854</v>
      </c>
      <c r="BO38">
        <v>3833</v>
      </c>
      <c r="BP38">
        <v>3732</v>
      </c>
      <c r="BQ38">
        <v>3712</v>
      </c>
      <c r="BR38">
        <v>3988.00435959167</v>
      </c>
      <c r="BS38">
        <v>4049</v>
      </c>
      <c r="BT38">
        <v>3816</v>
      </c>
      <c r="BU38">
        <v>4279</v>
      </c>
      <c r="BV38">
        <v>3895</v>
      </c>
      <c r="BW38">
        <v>3897</v>
      </c>
      <c r="BX38">
        <v>3856</v>
      </c>
      <c r="BY38">
        <v>3859</v>
      </c>
      <c r="BZ38">
        <v>3792</v>
      </c>
      <c r="CA38">
        <v>3592</v>
      </c>
      <c r="CB38">
        <v>3958</v>
      </c>
      <c r="CC38">
        <v>3475</v>
      </c>
      <c r="CD38">
        <v>4114</v>
      </c>
      <c r="CE38">
        <v>4150</v>
      </c>
      <c r="CF38">
        <v>4171</v>
      </c>
      <c r="CG38">
        <v>4565.4065754020503</v>
      </c>
      <c r="CH38">
        <v>4369.7339799280298</v>
      </c>
      <c r="CJ38" s="5" t="s">
        <v>63</v>
      </c>
      <c r="CK38" s="7">
        <v>3799.2307250901299</v>
      </c>
      <c r="CL38" s="7">
        <v>4674.4634010642103</v>
      </c>
      <c r="CM38" s="7">
        <v>3920</v>
      </c>
      <c r="CN38" s="7">
        <v>0</v>
      </c>
      <c r="CO38" s="7">
        <v>4015.2638486722299</v>
      </c>
      <c r="CP38" s="7">
        <v>4602</v>
      </c>
    </row>
    <row r="39" spans="4:94" x14ac:dyDescent="0.25">
      <c r="D39">
        <v>38</v>
      </c>
      <c r="E39" t="s">
        <v>66</v>
      </c>
      <c r="F39" s="3">
        <v>42057</v>
      </c>
      <c r="G39" t="s">
        <v>68</v>
      </c>
      <c r="H39" t="s">
        <v>48</v>
      </c>
      <c r="I39">
        <v>3670</v>
      </c>
      <c r="J39">
        <v>4597</v>
      </c>
      <c r="K39">
        <v>4867</v>
      </c>
      <c r="L39">
        <v>4894</v>
      </c>
      <c r="M39">
        <v>4131.7809081652904</v>
      </c>
      <c r="N39">
        <v>4042.82272704365</v>
      </c>
      <c r="O39" t="s">
        <v>48</v>
      </c>
      <c r="P39" t="s">
        <v>48</v>
      </c>
      <c r="Q39" t="s">
        <v>48</v>
      </c>
      <c r="R39" t="s">
        <v>48</v>
      </c>
      <c r="S39">
        <v>4329</v>
      </c>
      <c r="T39">
        <v>4252</v>
      </c>
      <c r="U39">
        <v>3795</v>
      </c>
      <c r="V39">
        <v>4076</v>
      </c>
      <c r="W39">
        <v>4096</v>
      </c>
      <c r="X39">
        <v>3737</v>
      </c>
      <c r="Y39">
        <v>3620</v>
      </c>
      <c r="Z39">
        <v>4337</v>
      </c>
      <c r="AA39">
        <v>3581</v>
      </c>
      <c r="AB39">
        <v>3500</v>
      </c>
      <c r="AC39">
        <v>3570</v>
      </c>
      <c r="AD39">
        <v>3542</v>
      </c>
      <c r="AE39">
        <v>4079.5452750033</v>
      </c>
      <c r="AF39">
        <v>4024</v>
      </c>
      <c r="AG39">
        <v>3554</v>
      </c>
      <c r="AH39">
        <v>4414</v>
      </c>
      <c r="AI39">
        <v>3561</v>
      </c>
      <c r="AJ39">
        <v>3443</v>
      </c>
      <c r="AK39">
        <v>3592</v>
      </c>
      <c r="AL39">
        <v>3575</v>
      </c>
      <c r="AM39">
        <v>3841.2773977655202</v>
      </c>
      <c r="AN39">
        <v>3839</v>
      </c>
      <c r="AO39">
        <v>3765</v>
      </c>
      <c r="AP39">
        <v>4160</v>
      </c>
      <c r="AQ39">
        <v>4017</v>
      </c>
      <c r="AR39">
        <v>3838</v>
      </c>
      <c r="AS39">
        <v>3802</v>
      </c>
      <c r="AT39">
        <v>3790</v>
      </c>
      <c r="AU39">
        <v>3926</v>
      </c>
      <c r="AV39">
        <v>3687</v>
      </c>
      <c r="AW39">
        <v>4098</v>
      </c>
      <c r="AX39">
        <v>3500</v>
      </c>
      <c r="AY39">
        <v>3918.4815855933598</v>
      </c>
      <c r="AZ39">
        <v>3942.8234149238201</v>
      </c>
      <c r="BA39">
        <v>3963.6537572266002</v>
      </c>
      <c r="BB39">
        <v>4205.6942805888302</v>
      </c>
      <c r="BC39">
        <v>4212.6898348814002</v>
      </c>
      <c r="BD39">
        <v>4232</v>
      </c>
      <c r="BE39">
        <v>4327</v>
      </c>
      <c r="BF39">
        <v>4176</v>
      </c>
      <c r="BG39">
        <v>4213</v>
      </c>
      <c r="BH39">
        <v>3678</v>
      </c>
      <c r="BI39">
        <v>3637</v>
      </c>
      <c r="BJ39">
        <v>4372.6275579071598</v>
      </c>
      <c r="BK39">
        <v>4265</v>
      </c>
      <c r="BL39">
        <v>3844</v>
      </c>
      <c r="BM39">
        <v>4402</v>
      </c>
      <c r="BN39">
        <v>3854</v>
      </c>
      <c r="BO39">
        <v>3834</v>
      </c>
      <c r="BP39">
        <v>3730</v>
      </c>
      <c r="BQ39">
        <v>3711</v>
      </c>
      <c r="BR39">
        <v>3943.29984057396</v>
      </c>
      <c r="BS39">
        <v>3969</v>
      </c>
      <c r="BT39">
        <v>3816</v>
      </c>
      <c r="BU39">
        <v>4323</v>
      </c>
      <c r="BV39">
        <v>3895</v>
      </c>
      <c r="BW39">
        <v>3897</v>
      </c>
      <c r="BX39">
        <v>3806</v>
      </c>
      <c r="BY39">
        <v>3780</v>
      </c>
      <c r="BZ39">
        <v>3767</v>
      </c>
      <c r="CA39">
        <v>3533</v>
      </c>
      <c r="CB39">
        <v>3925</v>
      </c>
      <c r="CC39">
        <v>3405</v>
      </c>
      <c r="CD39">
        <v>4085</v>
      </c>
      <c r="CE39">
        <v>4121</v>
      </c>
      <c r="CF39">
        <v>4142</v>
      </c>
      <c r="CG39">
        <v>4565.4065754020503</v>
      </c>
      <c r="CH39">
        <v>4369.7339799280298</v>
      </c>
      <c r="CJ39" s="5" t="s">
        <v>64</v>
      </c>
      <c r="CK39" s="7">
        <v>3802.35624825689</v>
      </c>
      <c r="CL39" s="7">
        <v>4674.4634010642103</v>
      </c>
      <c r="CM39" s="7">
        <v>3935</v>
      </c>
      <c r="CN39" s="7">
        <v>0</v>
      </c>
      <c r="CO39" s="7">
        <v>3998.3191287965301</v>
      </c>
      <c r="CP39" s="7">
        <v>4604</v>
      </c>
    </row>
    <row r="40" spans="4:94" x14ac:dyDescent="0.25">
      <c r="D40">
        <v>39</v>
      </c>
      <c r="E40" t="s">
        <v>66</v>
      </c>
      <c r="F40" s="3">
        <v>42057</v>
      </c>
      <c r="G40" t="s">
        <v>69</v>
      </c>
      <c r="H40" t="s">
        <v>48</v>
      </c>
      <c r="I40">
        <v>3652</v>
      </c>
      <c r="J40">
        <v>4576</v>
      </c>
      <c r="K40">
        <v>4118</v>
      </c>
      <c r="L40">
        <v>4830</v>
      </c>
      <c r="M40">
        <v>3931.41938626295</v>
      </c>
      <c r="N40">
        <v>4034.3940437746401</v>
      </c>
      <c r="O40" t="s">
        <v>48</v>
      </c>
      <c r="P40" t="s">
        <v>48</v>
      </c>
      <c r="Q40" t="s">
        <v>48</v>
      </c>
      <c r="R40" t="s">
        <v>48</v>
      </c>
      <c r="S40">
        <v>4215</v>
      </c>
      <c r="T40">
        <v>4141</v>
      </c>
      <c r="U40">
        <v>3726</v>
      </c>
      <c r="V40">
        <v>3976</v>
      </c>
      <c r="W40">
        <v>3990</v>
      </c>
      <c r="X40">
        <v>3798</v>
      </c>
      <c r="Y40">
        <v>3620</v>
      </c>
      <c r="Z40">
        <v>4337</v>
      </c>
      <c r="AA40">
        <v>3581</v>
      </c>
      <c r="AB40">
        <v>3500</v>
      </c>
      <c r="AC40">
        <v>3570</v>
      </c>
      <c r="AD40">
        <v>3542</v>
      </c>
      <c r="AE40">
        <v>3894.2635590940099</v>
      </c>
      <c r="AF40">
        <v>3865</v>
      </c>
      <c r="AG40">
        <v>3554</v>
      </c>
      <c r="AH40">
        <v>4404</v>
      </c>
      <c r="AI40">
        <v>3562</v>
      </c>
      <c r="AJ40">
        <v>3443</v>
      </c>
      <c r="AK40">
        <v>3592</v>
      </c>
      <c r="AL40">
        <v>3574</v>
      </c>
      <c r="AM40">
        <v>3725.6416441569199</v>
      </c>
      <c r="AN40">
        <v>3716</v>
      </c>
      <c r="AO40">
        <v>3765</v>
      </c>
      <c r="AP40">
        <v>4022</v>
      </c>
      <c r="AQ40">
        <v>3936</v>
      </c>
      <c r="AR40">
        <v>3838</v>
      </c>
      <c r="AS40">
        <v>3765</v>
      </c>
      <c r="AT40">
        <v>3738</v>
      </c>
      <c r="AU40">
        <v>3918</v>
      </c>
      <c r="AV40">
        <v>3673</v>
      </c>
      <c r="AW40">
        <v>4089</v>
      </c>
      <c r="AX40">
        <v>3484</v>
      </c>
      <c r="AY40">
        <v>3849.4815855933598</v>
      </c>
      <c r="AZ40">
        <v>3873.8234149238201</v>
      </c>
      <c r="BA40">
        <v>3894.6537572266002</v>
      </c>
      <c r="BB40">
        <v>4205.6942805888302</v>
      </c>
      <c r="BC40">
        <v>4212.6898348814002</v>
      </c>
      <c r="BD40">
        <v>4232</v>
      </c>
      <c r="BE40">
        <v>4327</v>
      </c>
      <c r="BF40">
        <v>4176</v>
      </c>
      <c r="BG40">
        <v>4213</v>
      </c>
      <c r="BH40">
        <v>3678</v>
      </c>
      <c r="BI40">
        <v>3637</v>
      </c>
      <c r="BJ40">
        <v>4176.4024538453396</v>
      </c>
      <c r="BK40">
        <v>4198</v>
      </c>
      <c r="BL40">
        <v>3846</v>
      </c>
      <c r="BM40">
        <v>4397</v>
      </c>
      <c r="BN40">
        <v>3853</v>
      </c>
      <c r="BO40">
        <v>3832</v>
      </c>
      <c r="BP40">
        <v>3730</v>
      </c>
      <c r="BQ40">
        <v>3710</v>
      </c>
      <c r="BR40">
        <v>3818.0329036616199</v>
      </c>
      <c r="BS40">
        <v>3829</v>
      </c>
      <c r="BT40">
        <v>3816</v>
      </c>
      <c r="BU40">
        <v>4226</v>
      </c>
      <c r="BV40">
        <v>3816</v>
      </c>
      <c r="BW40">
        <v>3897</v>
      </c>
      <c r="BX40">
        <v>3773</v>
      </c>
      <c r="BY40">
        <v>3719</v>
      </c>
      <c r="BZ40">
        <v>3759</v>
      </c>
      <c r="CA40">
        <v>3520</v>
      </c>
      <c r="CB40">
        <v>3917</v>
      </c>
      <c r="CC40">
        <v>3390</v>
      </c>
      <c r="CD40">
        <v>4016</v>
      </c>
      <c r="CE40">
        <v>4052</v>
      </c>
      <c r="CF40">
        <v>4073</v>
      </c>
      <c r="CG40">
        <v>4565.4065754020503</v>
      </c>
      <c r="CH40">
        <v>4369.7339799280298</v>
      </c>
      <c r="CJ40" s="5" t="s">
        <v>65</v>
      </c>
      <c r="CK40" s="7">
        <v>3887.3866111549301</v>
      </c>
      <c r="CL40" s="7">
        <v>4674.4634010642103</v>
      </c>
      <c r="CM40" s="7">
        <v>3954</v>
      </c>
      <c r="CN40" s="7">
        <v>0</v>
      </c>
      <c r="CO40" s="7">
        <v>3990.0250655249902</v>
      </c>
      <c r="CP40" s="7">
        <v>4563</v>
      </c>
    </row>
    <row r="41" spans="4:94" x14ac:dyDescent="0.25">
      <c r="D41">
        <v>40</v>
      </c>
      <c r="E41" t="s">
        <v>66</v>
      </c>
      <c r="F41" s="3">
        <v>42057</v>
      </c>
      <c r="G41" t="s">
        <v>70</v>
      </c>
      <c r="H41" t="s">
        <v>48</v>
      </c>
      <c r="I41">
        <v>3644</v>
      </c>
      <c r="J41">
        <v>4600</v>
      </c>
      <c r="K41">
        <v>4376</v>
      </c>
      <c r="L41">
        <v>4862</v>
      </c>
      <c r="M41">
        <v>3890.7341055182701</v>
      </c>
      <c r="N41">
        <v>4043.45057296812</v>
      </c>
      <c r="O41" t="s">
        <v>48</v>
      </c>
      <c r="P41" t="s">
        <v>48</v>
      </c>
      <c r="Q41" t="s">
        <v>48</v>
      </c>
      <c r="R41" t="s">
        <v>48</v>
      </c>
      <c r="S41">
        <v>4248</v>
      </c>
      <c r="T41">
        <v>4169</v>
      </c>
      <c r="U41">
        <v>3713</v>
      </c>
      <c r="V41">
        <v>3983</v>
      </c>
      <c r="W41">
        <v>3998</v>
      </c>
      <c r="X41">
        <v>3763</v>
      </c>
      <c r="Y41">
        <v>3620</v>
      </c>
      <c r="Z41">
        <v>4337</v>
      </c>
      <c r="AA41">
        <v>3581</v>
      </c>
      <c r="AB41">
        <v>3500</v>
      </c>
      <c r="AC41">
        <v>3570</v>
      </c>
      <c r="AD41">
        <v>3542</v>
      </c>
      <c r="AE41">
        <v>3793.90025091609</v>
      </c>
      <c r="AF41">
        <v>3724</v>
      </c>
      <c r="AG41">
        <v>3554</v>
      </c>
      <c r="AH41">
        <v>4405</v>
      </c>
      <c r="AI41">
        <v>3562</v>
      </c>
      <c r="AJ41">
        <v>3444</v>
      </c>
      <c r="AK41">
        <v>3592</v>
      </c>
      <c r="AL41">
        <v>3574</v>
      </c>
      <c r="AM41">
        <v>3553.7661248271502</v>
      </c>
      <c r="AN41">
        <v>3531</v>
      </c>
      <c r="AO41">
        <v>3765</v>
      </c>
      <c r="AP41">
        <v>3902</v>
      </c>
      <c r="AQ41">
        <v>3723</v>
      </c>
      <c r="AR41">
        <v>3838</v>
      </c>
      <c r="AS41">
        <v>3691</v>
      </c>
      <c r="AT41">
        <v>3616</v>
      </c>
      <c r="AU41">
        <v>3922</v>
      </c>
      <c r="AV41">
        <v>3674</v>
      </c>
      <c r="AW41">
        <v>4093</v>
      </c>
      <c r="AX41">
        <v>3485</v>
      </c>
      <c r="AY41">
        <v>3836.4815855933598</v>
      </c>
      <c r="AZ41">
        <v>3860.8234149238201</v>
      </c>
      <c r="BA41">
        <v>3881.6537572266002</v>
      </c>
      <c r="BB41">
        <v>4205.6942805888302</v>
      </c>
      <c r="BC41">
        <v>4212.6898348814002</v>
      </c>
      <c r="BD41">
        <v>4232</v>
      </c>
      <c r="BE41">
        <v>4327</v>
      </c>
      <c r="BF41">
        <v>4176</v>
      </c>
      <c r="BG41">
        <v>4213</v>
      </c>
      <c r="BH41">
        <v>3678</v>
      </c>
      <c r="BI41">
        <v>3637</v>
      </c>
      <c r="BJ41">
        <v>4068.7678368786701</v>
      </c>
      <c r="BK41">
        <v>4045</v>
      </c>
      <c r="BL41">
        <v>3846</v>
      </c>
      <c r="BM41">
        <v>4396</v>
      </c>
      <c r="BN41">
        <v>3853</v>
      </c>
      <c r="BO41">
        <v>3833</v>
      </c>
      <c r="BP41">
        <v>3730</v>
      </c>
      <c r="BQ41">
        <v>3710</v>
      </c>
      <c r="BR41">
        <v>3642.3161599233199</v>
      </c>
      <c r="BS41">
        <v>3624</v>
      </c>
      <c r="BT41">
        <v>3816</v>
      </c>
      <c r="BU41">
        <v>4100</v>
      </c>
      <c r="BV41">
        <v>3610</v>
      </c>
      <c r="BW41">
        <v>3897</v>
      </c>
      <c r="BX41">
        <v>3700</v>
      </c>
      <c r="BY41">
        <v>3622</v>
      </c>
      <c r="BZ41">
        <v>3763</v>
      </c>
      <c r="CA41">
        <v>3520</v>
      </c>
      <c r="CB41">
        <v>3920</v>
      </c>
      <c r="CC41">
        <v>3390</v>
      </c>
      <c r="CD41">
        <v>4003</v>
      </c>
      <c r="CE41">
        <v>4039</v>
      </c>
      <c r="CF41">
        <v>4060</v>
      </c>
      <c r="CG41">
        <v>4565.4065754020503</v>
      </c>
      <c r="CH41">
        <v>4369.7339799280298</v>
      </c>
      <c r="CJ41" s="5" t="s">
        <v>67</v>
      </c>
      <c r="CK41" s="7">
        <v>4045.0595426539098</v>
      </c>
      <c r="CL41" s="7">
        <v>4205.6942805888302</v>
      </c>
      <c r="CM41" s="7">
        <v>4124</v>
      </c>
      <c r="CN41" s="7">
        <v>0</v>
      </c>
      <c r="CO41" s="7">
        <v>4055.3272045039298</v>
      </c>
      <c r="CP41" s="7">
        <v>4635</v>
      </c>
    </row>
    <row r="42" spans="4:94" x14ac:dyDescent="0.25">
      <c r="D42">
        <v>41</v>
      </c>
      <c r="E42" t="s">
        <v>71</v>
      </c>
      <c r="F42" s="3">
        <v>42057</v>
      </c>
      <c r="G42" t="s">
        <v>72</v>
      </c>
      <c r="H42" t="s">
        <v>48</v>
      </c>
      <c r="I42">
        <v>3583</v>
      </c>
      <c r="J42">
        <v>4328</v>
      </c>
      <c r="K42">
        <v>4578</v>
      </c>
      <c r="L42">
        <v>5262</v>
      </c>
      <c r="M42">
        <v>3865.4770577567501</v>
      </c>
      <c r="N42">
        <v>3981.9472900641999</v>
      </c>
      <c r="O42" t="s">
        <v>48</v>
      </c>
      <c r="P42" t="s">
        <v>48</v>
      </c>
      <c r="Q42" t="s">
        <v>48</v>
      </c>
      <c r="R42" t="s">
        <v>48</v>
      </c>
      <c r="S42">
        <v>4252</v>
      </c>
      <c r="T42">
        <v>4188</v>
      </c>
      <c r="U42">
        <v>3681</v>
      </c>
      <c r="V42">
        <v>3948</v>
      </c>
      <c r="W42">
        <v>3956</v>
      </c>
      <c r="X42">
        <v>3768</v>
      </c>
      <c r="Y42">
        <v>4046</v>
      </c>
      <c r="Z42">
        <v>4316</v>
      </c>
      <c r="AA42">
        <v>4076</v>
      </c>
      <c r="AB42">
        <v>3972</v>
      </c>
      <c r="AC42">
        <v>3788</v>
      </c>
      <c r="AD42">
        <v>3775</v>
      </c>
      <c r="AE42">
        <v>3928.8815789765999</v>
      </c>
      <c r="AF42">
        <v>3924</v>
      </c>
      <c r="AG42">
        <v>4092</v>
      </c>
      <c r="AH42">
        <v>4328</v>
      </c>
      <c r="AI42">
        <v>4128</v>
      </c>
      <c r="AJ42">
        <v>3921</v>
      </c>
      <c r="AK42">
        <v>3754</v>
      </c>
      <c r="AL42">
        <v>3859</v>
      </c>
      <c r="AM42">
        <v>3592.25572296054</v>
      </c>
      <c r="AN42">
        <v>3557</v>
      </c>
      <c r="AO42">
        <v>4059</v>
      </c>
      <c r="AP42">
        <v>4086</v>
      </c>
      <c r="AQ42">
        <v>3932</v>
      </c>
      <c r="AR42">
        <v>4100</v>
      </c>
      <c r="AS42">
        <v>3775</v>
      </c>
      <c r="AT42">
        <v>3659</v>
      </c>
      <c r="AU42">
        <v>3932</v>
      </c>
      <c r="AV42">
        <v>3630</v>
      </c>
      <c r="AW42">
        <v>4100</v>
      </c>
      <c r="AX42">
        <v>3453</v>
      </c>
      <c r="AY42">
        <v>3809.2128287986302</v>
      </c>
      <c r="AZ42">
        <v>3842.0070717453</v>
      </c>
      <c r="BA42">
        <v>3869.2121416871501</v>
      </c>
      <c r="BB42">
        <v>4309.48203403352</v>
      </c>
      <c r="BC42">
        <v>4336.05199193929</v>
      </c>
      <c r="BD42">
        <v>4412</v>
      </c>
      <c r="BE42">
        <v>4336</v>
      </c>
      <c r="BF42">
        <v>4259</v>
      </c>
      <c r="BG42">
        <v>4335</v>
      </c>
      <c r="BH42">
        <v>3687</v>
      </c>
      <c r="BI42">
        <v>3665</v>
      </c>
      <c r="BJ42">
        <v>4153.03973939344</v>
      </c>
      <c r="BK42">
        <v>4144</v>
      </c>
      <c r="BL42">
        <v>4147</v>
      </c>
      <c r="BM42">
        <v>4340</v>
      </c>
      <c r="BN42">
        <v>4115</v>
      </c>
      <c r="BO42">
        <v>4005</v>
      </c>
      <c r="BP42">
        <v>3777</v>
      </c>
      <c r="BQ42">
        <v>3793</v>
      </c>
      <c r="BR42">
        <v>3643.3596510849602</v>
      </c>
      <c r="BS42">
        <v>3636</v>
      </c>
      <c r="BT42">
        <v>3968</v>
      </c>
      <c r="BU42">
        <v>4109</v>
      </c>
      <c r="BV42">
        <v>3858</v>
      </c>
      <c r="BW42">
        <v>3972</v>
      </c>
      <c r="BX42">
        <v>3780</v>
      </c>
      <c r="BY42">
        <v>3683</v>
      </c>
      <c r="BZ42">
        <v>3788</v>
      </c>
      <c r="CA42">
        <v>3444</v>
      </c>
      <c r="CB42">
        <v>3849</v>
      </c>
      <c r="CC42">
        <v>3293</v>
      </c>
      <c r="CD42">
        <v>3970</v>
      </c>
      <c r="CE42">
        <v>4015</v>
      </c>
      <c r="CF42">
        <v>4044</v>
      </c>
      <c r="CG42">
        <v>4182.2367530285501</v>
      </c>
      <c r="CH42">
        <v>4447.4605158364502</v>
      </c>
      <c r="CJ42" s="5" t="s">
        <v>68</v>
      </c>
      <c r="CK42" s="7">
        <v>4131.7809081652904</v>
      </c>
      <c r="CL42" s="7">
        <v>4205.6942805888302</v>
      </c>
      <c r="CM42" s="7">
        <v>4096</v>
      </c>
      <c r="CN42" s="7">
        <v>0</v>
      </c>
      <c r="CO42" s="7">
        <v>4042.82272704365</v>
      </c>
      <c r="CP42" s="7">
        <v>4597</v>
      </c>
    </row>
    <row r="43" spans="4:94" x14ac:dyDescent="0.25">
      <c r="D43">
        <v>42</v>
      </c>
      <c r="E43" t="s">
        <v>71</v>
      </c>
      <c r="F43" s="3">
        <v>42057</v>
      </c>
      <c r="G43" t="s">
        <v>73</v>
      </c>
      <c r="H43" t="s">
        <v>48</v>
      </c>
      <c r="I43">
        <v>3578</v>
      </c>
      <c r="J43">
        <v>4453</v>
      </c>
      <c r="K43">
        <v>4514</v>
      </c>
      <c r="L43">
        <v>5340</v>
      </c>
      <c r="M43">
        <v>3895.99558374564</v>
      </c>
      <c r="N43">
        <v>4016.1706023412398</v>
      </c>
      <c r="O43" t="s">
        <v>48</v>
      </c>
      <c r="P43" t="s">
        <v>48</v>
      </c>
      <c r="Q43" t="s">
        <v>48</v>
      </c>
      <c r="R43" t="s">
        <v>48</v>
      </c>
      <c r="S43">
        <v>4287</v>
      </c>
      <c r="T43">
        <v>4222</v>
      </c>
      <c r="U43">
        <v>3779</v>
      </c>
      <c r="V43">
        <v>3942</v>
      </c>
      <c r="W43">
        <v>3946</v>
      </c>
      <c r="X43">
        <v>3784</v>
      </c>
      <c r="Y43">
        <v>4046</v>
      </c>
      <c r="Z43">
        <v>4316</v>
      </c>
      <c r="AA43">
        <v>4076</v>
      </c>
      <c r="AB43">
        <v>3972</v>
      </c>
      <c r="AC43">
        <v>3788</v>
      </c>
      <c r="AD43">
        <v>3775</v>
      </c>
      <c r="AE43">
        <v>3928.8815789765999</v>
      </c>
      <c r="AF43">
        <v>3932</v>
      </c>
      <c r="AG43">
        <v>4095</v>
      </c>
      <c r="AH43">
        <v>4329</v>
      </c>
      <c r="AI43">
        <v>4130</v>
      </c>
      <c r="AJ43">
        <v>3923</v>
      </c>
      <c r="AK43">
        <v>3754</v>
      </c>
      <c r="AL43">
        <v>3859</v>
      </c>
      <c r="AM43">
        <v>3596.6449213682399</v>
      </c>
      <c r="AN43">
        <v>3559</v>
      </c>
      <c r="AO43">
        <v>4059</v>
      </c>
      <c r="AP43">
        <v>4086</v>
      </c>
      <c r="AQ43">
        <v>3932</v>
      </c>
      <c r="AR43">
        <v>4100</v>
      </c>
      <c r="AS43">
        <v>3769</v>
      </c>
      <c r="AT43">
        <v>3669</v>
      </c>
      <c r="AU43">
        <v>3970</v>
      </c>
      <c r="AV43">
        <v>3654</v>
      </c>
      <c r="AW43">
        <v>4134</v>
      </c>
      <c r="AX43">
        <v>3473</v>
      </c>
      <c r="AY43">
        <v>3907.2128287986302</v>
      </c>
      <c r="AZ43">
        <v>3940.0070717453</v>
      </c>
      <c r="BA43">
        <v>3967.2121416871501</v>
      </c>
      <c r="BB43">
        <v>4309.48203403352</v>
      </c>
      <c r="BC43">
        <v>4336.05199193929</v>
      </c>
      <c r="BD43">
        <v>4412</v>
      </c>
      <c r="BE43">
        <v>4336</v>
      </c>
      <c r="BF43">
        <v>4259</v>
      </c>
      <c r="BG43">
        <v>4335</v>
      </c>
      <c r="BH43">
        <v>3687</v>
      </c>
      <c r="BI43">
        <v>3665</v>
      </c>
      <c r="BJ43">
        <v>4153.03973939344</v>
      </c>
      <c r="BK43">
        <v>4152</v>
      </c>
      <c r="BL43">
        <v>4148</v>
      </c>
      <c r="BM43">
        <v>4342</v>
      </c>
      <c r="BN43">
        <v>4115</v>
      </c>
      <c r="BO43">
        <v>4005</v>
      </c>
      <c r="BP43">
        <v>3778</v>
      </c>
      <c r="BQ43">
        <v>3793</v>
      </c>
      <c r="BR43">
        <v>3646.6691772326899</v>
      </c>
      <c r="BS43">
        <v>3640</v>
      </c>
      <c r="BT43">
        <v>3968</v>
      </c>
      <c r="BU43">
        <v>4109</v>
      </c>
      <c r="BV43">
        <v>3836</v>
      </c>
      <c r="BW43">
        <v>3972</v>
      </c>
      <c r="BX43">
        <v>3775</v>
      </c>
      <c r="BY43">
        <v>3692</v>
      </c>
      <c r="BZ43">
        <v>3824</v>
      </c>
      <c r="CA43">
        <v>3467</v>
      </c>
      <c r="CB43">
        <v>3881</v>
      </c>
      <c r="CC43">
        <v>3312</v>
      </c>
      <c r="CD43">
        <v>4068</v>
      </c>
      <c r="CE43">
        <v>4113</v>
      </c>
      <c r="CF43">
        <v>4142</v>
      </c>
      <c r="CG43">
        <v>4182.2367530285501</v>
      </c>
      <c r="CH43">
        <v>4447.4605158364502</v>
      </c>
      <c r="CJ43" s="5" t="s">
        <v>69</v>
      </c>
      <c r="CK43" s="7">
        <v>3931.41938626295</v>
      </c>
      <c r="CL43" s="7">
        <v>4205.6942805888302</v>
      </c>
      <c r="CM43" s="7">
        <v>3990</v>
      </c>
      <c r="CN43" s="7">
        <v>0</v>
      </c>
      <c r="CO43" s="7">
        <v>4034.3940437746401</v>
      </c>
      <c r="CP43" s="7">
        <v>4576</v>
      </c>
    </row>
    <row r="44" spans="4:94" x14ac:dyDescent="0.25">
      <c r="D44">
        <v>43</v>
      </c>
      <c r="E44" t="s">
        <v>71</v>
      </c>
      <c r="F44" s="3">
        <v>42057</v>
      </c>
      <c r="G44" t="s">
        <v>74</v>
      </c>
      <c r="H44" t="s">
        <v>48</v>
      </c>
      <c r="I44">
        <v>3547</v>
      </c>
      <c r="J44">
        <v>4543</v>
      </c>
      <c r="K44">
        <v>4572</v>
      </c>
      <c r="L44">
        <v>5148.4365599134098</v>
      </c>
      <c r="M44">
        <v>3879.81923129182</v>
      </c>
      <c r="N44">
        <v>4019.0193213430698</v>
      </c>
      <c r="O44" t="s">
        <v>48</v>
      </c>
      <c r="P44" t="s">
        <v>48</v>
      </c>
      <c r="Q44" t="s">
        <v>48</v>
      </c>
      <c r="R44" t="s">
        <v>48</v>
      </c>
      <c r="S44">
        <v>4282</v>
      </c>
      <c r="T44">
        <v>4212</v>
      </c>
      <c r="U44">
        <v>3763</v>
      </c>
      <c r="V44">
        <v>3936</v>
      </c>
      <c r="W44">
        <v>3941</v>
      </c>
      <c r="X44">
        <v>3773</v>
      </c>
      <c r="Y44">
        <v>4046</v>
      </c>
      <c r="Z44">
        <v>4316</v>
      </c>
      <c r="AA44">
        <v>4076</v>
      </c>
      <c r="AB44">
        <v>3972</v>
      </c>
      <c r="AC44">
        <v>3788</v>
      </c>
      <c r="AD44">
        <v>3775</v>
      </c>
      <c r="AE44">
        <v>3914.5704774228898</v>
      </c>
      <c r="AF44">
        <v>3932</v>
      </c>
      <c r="AG44">
        <v>4097</v>
      </c>
      <c r="AH44">
        <v>4329</v>
      </c>
      <c r="AI44">
        <v>4129</v>
      </c>
      <c r="AJ44">
        <v>3924</v>
      </c>
      <c r="AK44">
        <v>3754</v>
      </c>
      <c r="AL44">
        <v>3859</v>
      </c>
      <c r="AM44">
        <v>3595.7961506329498</v>
      </c>
      <c r="AN44">
        <v>3560</v>
      </c>
      <c r="AO44">
        <v>4059</v>
      </c>
      <c r="AP44">
        <v>4079</v>
      </c>
      <c r="AQ44">
        <v>3932</v>
      </c>
      <c r="AR44">
        <v>4100</v>
      </c>
      <c r="AS44">
        <v>3763</v>
      </c>
      <c r="AT44">
        <v>3666</v>
      </c>
      <c r="AU44">
        <v>3990</v>
      </c>
      <c r="AV44">
        <v>3658</v>
      </c>
      <c r="AW44">
        <v>4149</v>
      </c>
      <c r="AX44">
        <v>3474</v>
      </c>
      <c r="AY44">
        <v>3891.2128287986302</v>
      </c>
      <c r="AZ44">
        <v>3924.0070717453</v>
      </c>
      <c r="BA44">
        <v>3951.2121416871501</v>
      </c>
      <c r="BB44">
        <v>4309.48203403352</v>
      </c>
      <c r="BC44">
        <v>4336.05199193929</v>
      </c>
      <c r="BD44">
        <v>4413</v>
      </c>
      <c r="BE44">
        <v>4336</v>
      </c>
      <c r="BF44">
        <v>4259</v>
      </c>
      <c r="BG44">
        <v>4335</v>
      </c>
      <c r="BH44">
        <v>3687</v>
      </c>
      <c r="BI44">
        <v>3665</v>
      </c>
      <c r="BJ44">
        <v>4137.9121331593697</v>
      </c>
      <c r="BK44">
        <v>4152</v>
      </c>
      <c r="BL44">
        <v>4147</v>
      </c>
      <c r="BM44">
        <v>4342</v>
      </c>
      <c r="BN44">
        <v>4115</v>
      </c>
      <c r="BO44">
        <v>4005</v>
      </c>
      <c r="BP44">
        <v>3777</v>
      </c>
      <c r="BQ44">
        <v>3793</v>
      </c>
      <c r="BR44">
        <v>3646.3313535883799</v>
      </c>
      <c r="BS44">
        <v>3638</v>
      </c>
      <c r="BT44">
        <v>3968</v>
      </c>
      <c r="BU44">
        <v>4102</v>
      </c>
      <c r="BV44">
        <v>3836</v>
      </c>
      <c r="BW44">
        <v>3972</v>
      </c>
      <c r="BX44">
        <v>3769</v>
      </c>
      <c r="BY44">
        <v>3690</v>
      </c>
      <c r="BZ44">
        <v>3843</v>
      </c>
      <c r="CA44">
        <v>3471</v>
      </c>
      <c r="CB44">
        <v>3895</v>
      </c>
      <c r="CC44">
        <v>3313</v>
      </c>
      <c r="CD44">
        <v>4052</v>
      </c>
      <c r="CE44">
        <v>4097</v>
      </c>
      <c r="CF44">
        <v>4126</v>
      </c>
      <c r="CG44">
        <v>4182.2367530285501</v>
      </c>
      <c r="CH44">
        <v>4447.4605158364502</v>
      </c>
      <c r="CJ44" s="5" t="s">
        <v>70</v>
      </c>
      <c r="CK44" s="7">
        <v>3890.7341055182701</v>
      </c>
      <c r="CL44" s="7">
        <v>4205.6942805888302</v>
      </c>
      <c r="CM44" s="7">
        <v>3998</v>
      </c>
      <c r="CN44" s="7">
        <v>0</v>
      </c>
      <c r="CO44" s="7">
        <v>4043.45057296812</v>
      </c>
      <c r="CP44" s="7">
        <v>4600</v>
      </c>
    </row>
    <row r="45" spans="4:94" x14ac:dyDescent="0.25">
      <c r="D45">
        <v>44</v>
      </c>
      <c r="E45" t="s">
        <v>71</v>
      </c>
      <c r="F45" s="3">
        <v>42057</v>
      </c>
      <c r="G45" t="s">
        <v>75</v>
      </c>
      <c r="H45" t="s">
        <v>48</v>
      </c>
      <c r="I45">
        <v>3578</v>
      </c>
      <c r="J45">
        <v>4597</v>
      </c>
      <c r="K45">
        <v>4706</v>
      </c>
      <c r="L45">
        <v>5021</v>
      </c>
      <c r="M45">
        <v>3900.0235409495299</v>
      </c>
      <c r="N45">
        <v>4027.0705752879499</v>
      </c>
      <c r="O45" t="s">
        <v>48</v>
      </c>
      <c r="P45" t="s">
        <v>48</v>
      </c>
      <c r="Q45" t="s">
        <v>48</v>
      </c>
      <c r="R45" t="s">
        <v>48</v>
      </c>
      <c r="S45">
        <v>4302</v>
      </c>
      <c r="T45">
        <v>4223</v>
      </c>
      <c r="U45">
        <v>3772</v>
      </c>
      <c r="V45">
        <v>3962</v>
      </c>
      <c r="W45">
        <v>3969</v>
      </c>
      <c r="X45">
        <v>3743</v>
      </c>
      <c r="Y45">
        <v>4046</v>
      </c>
      <c r="Z45">
        <v>4316</v>
      </c>
      <c r="AA45">
        <v>4076</v>
      </c>
      <c r="AB45">
        <v>3972</v>
      </c>
      <c r="AC45">
        <v>3788</v>
      </c>
      <c r="AD45">
        <v>3775</v>
      </c>
      <c r="AE45">
        <v>3928.8815789765999</v>
      </c>
      <c r="AF45">
        <v>3937</v>
      </c>
      <c r="AG45">
        <v>4097</v>
      </c>
      <c r="AH45">
        <v>4334</v>
      </c>
      <c r="AI45">
        <v>4129</v>
      </c>
      <c r="AJ45">
        <v>3925</v>
      </c>
      <c r="AK45">
        <v>3754</v>
      </c>
      <c r="AL45">
        <v>3859</v>
      </c>
      <c r="AM45">
        <v>3596.8397752696401</v>
      </c>
      <c r="AN45">
        <v>3562</v>
      </c>
      <c r="AO45">
        <v>4059</v>
      </c>
      <c r="AP45">
        <v>4086</v>
      </c>
      <c r="AQ45">
        <v>3937</v>
      </c>
      <c r="AR45">
        <v>4100</v>
      </c>
      <c r="AS45">
        <v>3771</v>
      </c>
      <c r="AT45">
        <v>3674</v>
      </c>
      <c r="AU45">
        <v>4008</v>
      </c>
      <c r="AV45">
        <v>3683</v>
      </c>
      <c r="AW45">
        <v>4169</v>
      </c>
      <c r="AX45">
        <v>3502</v>
      </c>
      <c r="AY45">
        <v>3900.2128287986302</v>
      </c>
      <c r="AZ45">
        <v>3933.0070717453</v>
      </c>
      <c r="BA45">
        <v>3960.2121416871501</v>
      </c>
      <c r="BB45">
        <v>4309.48203403352</v>
      </c>
      <c r="BC45">
        <v>4336.05199193929</v>
      </c>
      <c r="BD45">
        <v>4413</v>
      </c>
      <c r="BE45">
        <v>4336</v>
      </c>
      <c r="BF45">
        <v>4259</v>
      </c>
      <c r="BG45">
        <v>4335</v>
      </c>
      <c r="BH45">
        <v>3687</v>
      </c>
      <c r="BI45">
        <v>3665</v>
      </c>
      <c r="BJ45">
        <v>4153.03973939344</v>
      </c>
      <c r="BK45">
        <v>4158</v>
      </c>
      <c r="BL45">
        <v>4148</v>
      </c>
      <c r="BM45">
        <v>4343</v>
      </c>
      <c r="BN45">
        <v>4114</v>
      </c>
      <c r="BO45">
        <v>4005</v>
      </c>
      <c r="BP45">
        <v>3777</v>
      </c>
      <c r="BQ45">
        <v>3793</v>
      </c>
      <c r="BR45">
        <v>3645.9201490814098</v>
      </c>
      <c r="BS45">
        <v>3638</v>
      </c>
      <c r="BT45">
        <v>3968</v>
      </c>
      <c r="BU45">
        <v>4109</v>
      </c>
      <c r="BV45">
        <v>3841</v>
      </c>
      <c r="BW45">
        <v>3972</v>
      </c>
      <c r="BX45">
        <v>3777</v>
      </c>
      <c r="BY45">
        <v>3698</v>
      </c>
      <c r="BZ45">
        <v>3860</v>
      </c>
      <c r="CA45">
        <v>3494</v>
      </c>
      <c r="CB45">
        <v>3914</v>
      </c>
      <c r="CC45">
        <v>3339</v>
      </c>
      <c r="CD45">
        <v>4061</v>
      </c>
      <c r="CE45">
        <v>4106</v>
      </c>
      <c r="CF45">
        <v>4135</v>
      </c>
      <c r="CG45">
        <v>4182.2367530285501</v>
      </c>
      <c r="CH45">
        <v>4447.4605158364502</v>
      </c>
      <c r="CJ45" s="5" t="s">
        <v>72</v>
      </c>
      <c r="CK45" s="7">
        <v>3865.4770577567501</v>
      </c>
      <c r="CL45" s="7">
        <v>4309.48203403352</v>
      </c>
      <c r="CM45" s="7">
        <v>3956</v>
      </c>
      <c r="CN45" s="7">
        <v>0</v>
      </c>
      <c r="CO45" s="7">
        <v>3981.9472900641999</v>
      </c>
      <c r="CP45" s="7">
        <v>4328</v>
      </c>
    </row>
    <row r="46" spans="4:94" x14ac:dyDescent="0.25">
      <c r="D46">
        <v>45</v>
      </c>
      <c r="E46" t="s">
        <v>71</v>
      </c>
      <c r="F46" s="3">
        <v>42057</v>
      </c>
      <c r="G46" t="s">
        <v>76</v>
      </c>
      <c r="H46" t="s">
        <v>48</v>
      </c>
      <c r="I46">
        <v>3657</v>
      </c>
      <c r="J46">
        <v>4961</v>
      </c>
      <c r="K46">
        <v>4809</v>
      </c>
      <c r="L46">
        <v>5155</v>
      </c>
      <c r="M46">
        <v>4083.7036993962402</v>
      </c>
      <c r="N46">
        <v>4059.5396980492901</v>
      </c>
      <c r="O46" t="s">
        <v>48</v>
      </c>
      <c r="P46" t="s">
        <v>48</v>
      </c>
      <c r="Q46" t="s">
        <v>48</v>
      </c>
      <c r="R46" t="s">
        <v>48</v>
      </c>
      <c r="S46">
        <v>4419</v>
      </c>
      <c r="T46">
        <v>4329</v>
      </c>
      <c r="U46">
        <v>3914</v>
      </c>
      <c r="V46">
        <v>4097</v>
      </c>
      <c r="W46">
        <v>4095</v>
      </c>
      <c r="X46">
        <v>3673</v>
      </c>
      <c r="Y46">
        <v>4126</v>
      </c>
      <c r="Z46">
        <v>4041</v>
      </c>
      <c r="AA46">
        <v>4118</v>
      </c>
      <c r="AB46">
        <v>4015</v>
      </c>
      <c r="AC46">
        <v>3803</v>
      </c>
      <c r="AD46">
        <v>3794</v>
      </c>
      <c r="AE46">
        <v>4046.95543946612</v>
      </c>
      <c r="AF46">
        <v>4154</v>
      </c>
      <c r="AG46">
        <v>4174</v>
      </c>
      <c r="AH46">
        <v>4175</v>
      </c>
      <c r="AI46">
        <v>4205</v>
      </c>
      <c r="AJ46">
        <v>4052</v>
      </c>
      <c r="AK46">
        <v>3989</v>
      </c>
      <c r="AL46">
        <v>4003</v>
      </c>
      <c r="AM46">
        <v>3943.6824057017702</v>
      </c>
      <c r="AN46">
        <v>3926</v>
      </c>
      <c r="AO46">
        <v>4085</v>
      </c>
      <c r="AP46">
        <v>4142</v>
      </c>
      <c r="AQ46">
        <v>4301</v>
      </c>
      <c r="AR46">
        <v>4051</v>
      </c>
      <c r="AS46">
        <v>3959</v>
      </c>
      <c r="AT46">
        <v>3934</v>
      </c>
      <c r="AU46">
        <v>4148</v>
      </c>
      <c r="AV46">
        <v>3948</v>
      </c>
      <c r="AW46">
        <v>4232</v>
      </c>
      <c r="AX46">
        <v>3733</v>
      </c>
      <c r="AY46">
        <v>4044.6271085396302</v>
      </c>
      <c r="AZ46">
        <v>4073.4335032898598</v>
      </c>
      <c r="BA46">
        <v>4096.37236169485</v>
      </c>
      <c r="BB46">
        <v>3873.2760326842599</v>
      </c>
      <c r="BC46">
        <v>4369.8570024683504</v>
      </c>
      <c r="BD46">
        <v>4454</v>
      </c>
      <c r="BE46">
        <v>4091</v>
      </c>
      <c r="BF46">
        <v>4304</v>
      </c>
      <c r="BG46">
        <v>4390</v>
      </c>
      <c r="BH46">
        <v>3700</v>
      </c>
      <c r="BI46">
        <v>3705</v>
      </c>
      <c r="BJ46">
        <v>4261.96106804584</v>
      </c>
      <c r="BK46">
        <v>4322</v>
      </c>
      <c r="BL46">
        <v>4203</v>
      </c>
      <c r="BM46">
        <v>4146</v>
      </c>
      <c r="BN46">
        <v>4225</v>
      </c>
      <c r="BO46">
        <v>4036</v>
      </c>
      <c r="BP46">
        <v>3806</v>
      </c>
      <c r="BQ46">
        <v>3799</v>
      </c>
      <c r="BR46">
        <v>3946.18761184201</v>
      </c>
      <c r="BS46">
        <v>3992</v>
      </c>
      <c r="BT46">
        <v>4010</v>
      </c>
      <c r="BU46">
        <v>4213</v>
      </c>
      <c r="BV46">
        <v>4301</v>
      </c>
      <c r="BW46">
        <v>4042</v>
      </c>
      <c r="BX46">
        <v>3975</v>
      </c>
      <c r="BY46">
        <v>3939</v>
      </c>
      <c r="BZ46">
        <v>4058</v>
      </c>
      <c r="CA46">
        <v>3634</v>
      </c>
      <c r="CB46">
        <v>4066</v>
      </c>
      <c r="CC46">
        <v>3484</v>
      </c>
      <c r="CD46">
        <v>4196</v>
      </c>
      <c r="CE46">
        <v>4241</v>
      </c>
      <c r="CF46">
        <v>4280</v>
      </c>
      <c r="CG46">
        <v>4032.1264251889302</v>
      </c>
      <c r="CH46">
        <v>4339.5726170424596</v>
      </c>
      <c r="CJ46" s="5" t="s">
        <v>73</v>
      </c>
      <c r="CK46" s="7">
        <v>3895.99558374564</v>
      </c>
      <c r="CL46" s="7">
        <v>4309.48203403352</v>
      </c>
      <c r="CM46" s="7">
        <v>3946</v>
      </c>
      <c r="CN46" s="7">
        <v>0</v>
      </c>
      <c r="CO46" s="7">
        <v>4016.1706023412398</v>
      </c>
      <c r="CP46" s="7">
        <v>4453</v>
      </c>
    </row>
    <row r="47" spans="4:94" x14ac:dyDescent="0.25">
      <c r="D47">
        <v>46</v>
      </c>
      <c r="E47" t="s">
        <v>71</v>
      </c>
      <c r="F47" s="3">
        <v>42057</v>
      </c>
      <c r="G47" t="s">
        <v>77</v>
      </c>
      <c r="H47" t="s">
        <v>48</v>
      </c>
      <c r="I47">
        <v>3718</v>
      </c>
      <c r="J47">
        <v>4823</v>
      </c>
      <c r="K47">
        <v>4839</v>
      </c>
      <c r="L47">
        <v>5217</v>
      </c>
      <c r="M47">
        <v>4113.3232860818198</v>
      </c>
      <c r="N47">
        <v>4019.2035020348198</v>
      </c>
      <c r="O47" t="s">
        <v>48</v>
      </c>
      <c r="P47" t="s">
        <v>48</v>
      </c>
      <c r="Q47" t="s">
        <v>48</v>
      </c>
      <c r="R47" t="s">
        <v>48</v>
      </c>
      <c r="S47">
        <v>4415</v>
      </c>
      <c r="T47">
        <v>4324</v>
      </c>
      <c r="U47">
        <v>3905</v>
      </c>
      <c r="V47">
        <v>4105</v>
      </c>
      <c r="W47">
        <v>4102</v>
      </c>
      <c r="X47">
        <v>3665</v>
      </c>
      <c r="Y47">
        <v>4126</v>
      </c>
      <c r="Z47">
        <v>4041</v>
      </c>
      <c r="AA47">
        <v>4118</v>
      </c>
      <c r="AB47">
        <v>4015</v>
      </c>
      <c r="AC47">
        <v>3803</v>
      </c>
      <c r="AD47">
        <v>3794</v>
      </c>
      <c r="AE47">
        <v>4229.9621522247198</v>
      </c>
      <c r="AF47">
        <v>4410</v>
      </c>
      <c r="AG47">
        <v>4174</v>
      </c>
      <c r="AH47">
        <v>4175</v>
      </c>
      <c r="AI47">
        <v>4206</v>
      </c>
      <c r="AJ47">
        <v>4052</v>
      </c>
      <c r="AK47">
        <v>3990</v>
      </c>
      <c r="AL47">
        <v>4004</v>
      </c>
      <c r="AM47">
        <v>4073.67854549195</v>
      </c>
      <c r="AN47">
        <v>4117</v>
      </c>
      <c r="AO47">
        <v>4085</v>
      </c>
      <c r="AP47">
        <v>4261</v>
      </c>
      <c r="AQ47">
        <v>4335</v>
      </c>
      <c r="AR47">
        <v>4051</v>
      </c>
      <c r="AS47">
        <v>4024</v>
      </c>
      <c r="AT47">
        <v>4061</v>
      </c>
      <c r="AU47">
        <v>4137</v>
      </c>
      <c r="AV47">
        <v>3938</v>
      </c>
      <c r="AW47">
        <v>4226</v>
      </c>
      <c r="AX47">
        <v>3723</v>
      </c>
      <c r="AY47">
        <v>4035.6271085396302</v>
      </c>
      <c r="AZ47">
        <v>4064.4335032898598</v>
      </c>
      <c r="BA47">
        <v>4087.37236169485</v>
      </c>
      <c r="BB47">
        <v>3873.2760326842599</v>
      </c>
      <c r="BC47">
        <v>4369.8570024683504</v>
      </c>
      <c r="BD47">
        <v>4454</v>
      </c>
      <c r="BE47">
        <v>4091</v>
      </c>
      <c r="BF47">
        <v>4304</v>
      </c>
      <c r="BG47">
        <v>4390</v>
      </c>
      <c r="BH47">
        <v>3700</v>
      </c>
      <c r="BI47">
        <v>3705</v>
      </c>
      <c r="BJ47">
        <v>4464.4559758251198</v>
      </c>
      <c r="BK47">
        <v>4564</v>
      </c>
      <c r="BL47">
        <v>4203</v>
      </c>
      <c r="BM47">
        <v>4145</v>
      </c>
      <c r="BN47">
        <v>4226</v>
      </c>
      <c r="BO47">
        <v>4038</v>
      </c>
      <c r="BP47">
        <v>3806</v>
      </c>
      <c r="BQ47">
        <v>3800</v>
      </c>
      <c r="BR47">
        <v>4092.2476290782702</v>
      </c>
      <c r="BS47">
        <v>4210</v>
      </c>
      <c r="BT47">
        <v>4010</v>
      </c>
      <c r="BU47">
        <v>4334</v>
      </c>
      <c r="BV47">
        <v>4335</v>
      </c>
      <c r="BW47">
        <v>4042</v>
      </c>
      <c r="BX47">
        <v>4045</v>
      </c>
      <c r="BY47">
        <v>4067</v>
      </c>
      <c r="BZ47">
        <v>4047</v>
      </c>
      <c r="CA47">
        <v>3625</v>
      </c>
      <c r="CB47">
        <v>4061</v>
      </c>
      <c r="CC47">
        <v>3475</v>
      </c>
      <c r="CD47">
        <v>4187</v>
      </c>
      <c r="CE47">
        <v>4232</v>
      </c>
      <c r="CF47">
        <v>4271</v>
      </c>
      <c r="CG47">
        <v>4032.1264251889302</v>
      </c>
      <c r="CH47">
        <v>4339.5726170424596</v>
      </c>
      <c r="CJ47" s="5" t="s">
        <v>74</v>
      </c>
      <c r="CK47" s="7">
        <v>3879.81923129182</v>
      </c>
      <c r="CL47" s="7">
        <v>4309.48203403352</v>
      </c>
      <c r="CM47" s="7">
        <v>3941</v>
      </c>
      <c r="CN47" s="7">
        <v>0</v>
      </c>
      <c r="CO47" s="7">
        <v>4019.0193213430698</v>
      </c>
      <c r="CP47" s="7">
        <v>4543</v>
      </c>
    </row>
    <row r="48" spans="4:94" x14ac:dyDescent="0.25">
      <c r="D48">
        <v>47</v>
      </c>
      <c r="E48" t="s">
        <v>71</v>
      </c>
      <c r="F48" s="3">
        <v>42057</v>
      </c>
      <c r="G48" t="s">
        <v>78</v>
      </c>
      <c r="H48" t="s">
        <v>48</v>
      </c>
      <c r="I48">
        <v>3706</v>
      </c>
      <c r="J48">
        <v>4625</v>
      </c>
      <c r="K48">
        <v>4843</v>
      </c>
      <c r="L48">
        <v>5021</v>
      </c>
      <c r="M48">
        <v>4073.68685343691</v>
      </c>
      <c r="N48">
        <v>4010.5189608676801</v>
      </c>
      <c r="O48" t="s">
        <v>48</v>
      </c>
      <c r="P48" t="s">
        <v>48</v>
      </c>
      <c r="Q48" t="s">
        <v>48</v>
      </c>
      <c r="R48" t="s">
        <v>48</v>
      </c>
      <c r="S48">
        <v>4372</v>
      </c>
      <c r="T48">
        <v>4287</v>
      </c>
      <c r="U48">
        <v>3829</v>
      </c>
      <c r="V48">
        <v>4038</v>
      </c>
      <c r="W48">
        <v>4043</v>
      </c>
      <c r="X48">
        <v>3672</v>
      </c>
      <c r="Y48">
        <v>4126</v>
      </c>
      <c r="Z48">
        <v>4041</v>
      </c>
      <c r="AA48">
        <v>4118</v>
      </c>
      <c r="AB48">
        <v>4015</v>
      </c>
      <c r="AC48">
        <v>3803</v>
      </c>
      <c r="AD48">
        <v>3794</v>
      </c>
      <c r="AE48">
        <v>4229.9621522247198</v>
      </c>
      <c r="AF48">
        <v>4425</v>
      </c>
      <c r="AG48">
        <v>4174</v>
      </c>
      <c r="AH48">
        <v>4175</v>
      </c>
      <c r="AI48">
        <v>4205</v>
      </c>
      <c r="AJ48">
        <v>4053</v>
      </c>
      <c r="AK48">
        <v>3990</v>
      </c>
      <c r="AL48">
        <v>4004</v>
      </c>
      <c r="AM48">
        <v>4059.5757533486899</v>
      </c>
      <c r="AN48">
        <v>4093</v>
      </c>
      <c r="AO48">
        <v>4085</v>
      </c>
      <c r="AP48">
        <v>4278</v>
      </c>
      <c r="AQ48">
        <v>4305</v>
      </c>
      <c r="AR48">
        <v>4051</v>
      </c>
      <c r="AS48">
        <v>4011</v>
      </c>
      <c r="AT48">
        <v>4031</v>
      </c>
      <c r="AU48">
        <v>4094</v>
      </c>
      <c r="AV48">
        <v>3880</v>
      </c>
      <c r="AW48">
        <v>4186</v>
      </c>
      <c r="AX48">
        <v>3658</v>
      </c>
      <c r="AY48">
        <v>3959.6271085396302</v>
      </c>
      <c r="AZ48">
        <v>3988.4335032898598</v>
      </c>
      <c r="BA48">
        <v>4011.37236169485</v>
      </c>
      <c r="BB48">
        <v>3873.2760326842599</v>
      </c>
      <c r="BC48">
        <v>4369.8570024683504</v>
      </c>
      <c r="BD48">
        <v>4454</v>
      </c>
      <c r="BE48">
        <v>4091</v>
      </c>
      <c r="BF48">
        <v>4304</v>
      </c>
      <c r="BG48">
        <v>4390</v>
      </c>
      <c r="BH48">
        <v>3700</v>
      </c>
      <c r="BI48">
        <v>3705</v>
      </c>
      <c r="BJ48">
        <v>4464.4559758251198</v>
      </c>
      <c r="BK48">
        <v>4579</v>
      </c>
      <c r="BL48">
        <v>4203</v>
      </c>
      <c r="BM48">
        <v>4142</v>
      </c>
      <c r="BN48">
        <v>4225</v>
      </c>
      <c r="BO48">
        <v>4039</v>
      </c>
      <c r="BP48">
        <v>3807</v>
      </c>
      <c r="BQ48">
        <v>3802</v>
      </c>
      <c r="BR48">
        <v>4079.4343356057402</v>
      </c>
      <c r="BS48">
        <v>4185</v>
      </c>
      <c r="BT48">
        <v>4010</v>
      </c>
      <c r="BU48">
        <v>4351</v>
      </c>
      <c r="BV48">
        <v>4305</v>
      </c>
      <c r="BW48">
        <v>4042</v>
      </c>
      <c r="BX48">
        <v>4021</v>
      </c>
      <c r="BY48">
        <v>4037</v>
      </c>
      <c r="BZ48">
        <v>4005</v>
      </c>
      <c r="CA48">
        <v>3571</v>
      </c>
      <c r="CB48">
        <v>4022</v>
      </c>
      <c r="CC48">
        <v>3414</v>
      </c>
      <c r="CD48">
        <v>4111</v>
      </c>
      <c r="CE48">
        <v>4156</v>
      </c>
      <c r="CF48">
        <v>4195</v>
      </c>
      <c r="CG48">
        <v>4032.1264251889302</v>
      </c>
      <c r="CH48">
        <v>4339.5726170424596</v>
      </c>
      <c r="CJ48" s="5" t="s">
        <v>75</v>
      </c>
      <c r="CK48" s="7">
        <v>3900.0235409495299</v>
      </c>
      <c r="CL48" s="7">
        <v>4309.48203403352</v>
      </c>
      <c r="CM48" s="7">
        <v>3969</v>
      </c>
      <c r="CN48" s="7">
        <v>0</v>
      </c>
      <c r="CO48" s="7">
        <v>4027.0705752879499</v>
      </c>
      <c r="CP48" s="7">
        <v>4597</v>
      </c>
    </row>
    <row r="49" spans="4:94" x14ac:dyDescent="0.25">
      <c r="D49">
        <v>48</v>
      </c>
      <c r="E49" t="s">
        <v>71</v>
      </c>
      <c r="F49" s="3">
        <v>42057</v>
      </c>
      <c r="G49" t="s">
        <v>79</v>
      </c>
      <c r="H49" t="s">
        <v>48</v>
      </c>
      <c r="I49">
        <v>3744</v>
      </c>
      <c r="J49">
        <v>4676</v>
      </c>
      <c r="K49">
        <v>4789</v>
      </c>
      <c r="L49">
        <v>4993</v>
      </c>
      <c r="M49">
        <v>4096.00281994129</v>
      </c>
      <c r="N49">
        <v>4011.1994055505502</v>
      </c>
      <c r="O49" t="s">
        <v>48</v>
      </c>
      <c r="P49" t="s">
        <v>48</v>
      </c>
      <c r="Q49" t="s">
        <v>48</v>
      </c>
      <c r="R49" t="s">
        <v>48</v>
      </c>
      <c r="S49">
        <v>4376</v>
      </c>
      <c r="T49">
        <v>4286</v>
      </c>
      <c r="U49">
        <v>3872</v>
      </c>
      <c r="V49">
        <v>4057</v>
      </c>
      <c r="W49">
        <v>4062</v>
      </c>
      <c r="X49">
        <v>3589</v>
      </c>
      <c r="Y49">
        <v>4126</v>
      </c>
      <c r="Z49">
        <v>4041</v>
      </c>
      <c r="AA49">
        <v>4118</v>
      </c>
      <c r="AB49">
        <v>4015</v>
      </c>
      <c r="AC49">
        <v>3803</v>
      </c>
      <c r="AD49">
        <v>3794</v>
      </c>
      <c r="AE49">
        <v>4229.9621522247198</v>
      </c>
      <c r="AF49">
        <v>4410</v>
      </c>
      <c r="AG49">
        <v>4173</v>
      </c>
      <c r="AH49">
        <v>4175</v>
      </c>
      <c r="AI49">
        <v>4204</v>
      </c>
      <c r="AJ49">
        <v>4053</v>
      </c>
      <c r="AK49">
        <v>3990</v>
      </c>
      <c r="AL49">
        <v>4004</v>
      </c>
      <c r="AM49">
        <v>4072.8034580461199</v>
      </c>
      <c r="AN49">
        <v>4118</v>
      </c>
      <c r="AO49">
        <v>4085</v>
      </c>
      <c r="AP49">
        <v>4261</v>
      </c>
      <c r="AQ49">
        <v>4305</v>
      </c>
      <c r="AR49">
        <v>4051</v>
      </c>
      <c r="AS49">
        <v>4024</v>
      </c>
      <c r="AT49">
        <v>4061</v>
      </c>
      <c r="AU49">
        <v>4113</v>
      </c>
      <c r="AV49">
        <v>3913</v>
      </c>
      <c r="AW49">
        <v>4207</v>
      </c>
      <c r="AX49">
        <v>3695</v>
      </c>
      <c r="AY49">
        <v>4002.6271085396302</v>
      </c>
      <c r="AZ49">
        <v>4031.4335032898598</v>
      </c>
      <c r="BA49">
        <v>4054.37236169485</v>
      </c>
      <c r="BB49">
        <v>3873.2760326842599</v>
      </c>
      <c r="BC49">
        <v>4369.8570024683504</v>
      </c>
      <c r="BD49">
        <v>4454</v>
      </c>
      <c r="BE49">
        <v>4091</v>
      </c>
      <c r="BF49">
        <v>4304</v>
      </c>
      <c r="BG49">
        <v>4390</v>
      </c>
      <c r="BH49">
        <v>3700</v>
      </c>
      <c r="BI49">
        <v>3705</v>
      </c>
      <c r="BJ49">
        <v>4464.4559758251198</v>
      </c>
      <c r="BK49">
        <v>4564</v>
      </c>
      <c r="BL49">
        <v>4204</v>
      </c>
      <c r="BM49">
        <v>4143</v>
      </c>
      <c r="BN49">
        <v>4225</v>
      </c>
      <c r="BO49">
        <v>4040</v>
      </c>
      <c r="BP49">
        <v>3807</v>
      </c>
      <c r="BQ49">
        <v>3804</v>
      </c>
      <c r="BR49">
        <v>4087.8481094977901</v>
      </c>
      <c r="BS49">
        <v>4206</v>
      </c>
      <c r="BT49">
        <v>4010</v>
      </c>
      <c r="BU49">
        <v>4334</v>
      </c>
      <c r="BV49">
        <v>4305</v>
      </c>
      <c r="BW49">
        <v>4042</v>
      </c>
      <c r="BX49">
        <v>4048</v>
      </c>
      <c r="BY49">
        <v>4066</v>
      </c>
      <c r="BZ49">
        <v>4023</v>
      </c>
      <c r="CA49">
        <v>3602</v>
      </c>
      <c r="CB49">
        <v>4042</v>
      </c>
      <c r="CC49">
        <v>3449</v>
      </c>
      <c r="CD49">
        <v>4154</v>
      </c>
      <c r="CE49">
        <v>4199</v>
      </c>
      <c r="CF49">
        <v>4238</v>
      </c>
      <c r="CG49">
        <v>4032.1264251889302</v>
      </c>
      <c r="CH49">
        <v>4339.5726170424596</v>
      </c>
      <c r="CJ49" s="5" t="s">
        <v>76</v>
      </c>
      <c r="CK49" s="7">
        <v>4083.7036993962402</v>
      </c>
      <c r="CL49" s="7">
        <v>3873.2760326842599</v>
      </c>
      <c r="CM49" s="7">
        <v>4095</v>
      </c>
      <c r="CN49" s="7">
        <v>0</v>
      </c>
      <c r="CO49" s="7">
        <v>4059.5396980492901</v>
      </c>
      <c r="CP49" s="7">
        <v>4961</v>
      </c>
    </row>
    <row r="50" spans="4:94" x14ac:dyDescent="0.25">
      <c r="D50">
        <v>49</v>
      </c>
      <c r="E50" t="s">
        <v>80</v>
      </c>
      <c r="F50" s="3">
        <v>42057</v>
      </c>
      <c r="G50" t="s">
        <v>81</v>
      </c>
      <c r="H50" t="s">
        <v>48</v>
      </c>
      <c r="I50">
        <v>3803</v>
      </c>
      <c r="J50">
        <v>4465</v>
      </c>
      <c r="K50">
        <v>4663</v>
      </c>
      <c r="L50">
        <v>5088</v>
      </c>
      <c r="M50">
        <v>4066.6927665254998</v>
      </c>
      <c r="N50">
        <v>4027.5236246569898</v>
      </c>
      <c r="O50" t="s">
        <v>48</v>
      </c>
      <c r="P50" t="s">
        <v>48</v>
      </c>
      <c r="Q50" t="s">
        <v>48</v>
      </c>
      <c r="R50" t="s">
        <v>48</v>
      </c>
      <c r="S50">
        <v>4341</v>
      </c>
      <c r="T50">
        <v>4254</v>
      </c>
      <c r="U50">
        <v>3861</v>
      </c>
      <c r="V50">
        <v>4058</v>
      </c>
      <c r="W50">
        <v>4066</v>
      </c>
      <c r="X50">
        <v>3510</v>
      </c>
      <c r="Y50">
        <v>4060</v>
      </c>
      <c r="Z50">
        <v>4089</v>
      </c>
      <c r="AA50">
        <v>4047</v>
      </c>
      <c r="AB50">
        <v>4007</v>
      </c>
      <c r="AC50">
        <v>3799</v>
      </c>
      <c r="AD50">
        <v>3821</v>
      </c>
      <c r="AE50">
        <v>4322.2091009598298</v>
      </c>
      <c r="AF50">
        <v>4441</v>
      </c>
      <c r="AG50">
        <v>4056</v>
      </c>
      <c r="AH50">
        <v>4139</v>
      </c>
      <c r="AI50">
        <v>4066</v>
      </c>
      <c r="AJ50">
        <v>4027</v>
      </c>
      <c r="AK50">
        <v>3986</v>
      </c>
      <c r="AL50">
        <v>3963</v>
      </c>
      <c r="AM50">
        <v>4089.3988863905101</v>
      </c>
      <c r="AN50">
        <v>4135</v>
      </c>
      <c r="AO50">
        <v>4073</v>
      </c>
      <c r="AP50">
        <v>4248</v>
      </c>
      <c r="AQ50">
        <v>4215</v>
      </c>
      <c r="AR50">
        <v>4010</v>
      </c>
      <c r="AS50">
        <v>4082</v>
      </c>
      <c r="AT50">
        <v>4097</v>
      </c>
      <c r="AU50">
        <v>4086</v>
      </c>
      <c r="AV50">
        <v>4024</v>
      </c>
      <c r="AW50">
        <v>4154</v>
      </c>
      <c r="AX50">
        <v>3811</v>
      </c>
      <c r="AY50">
        <v>3990.67470017303</v>
      </c>
      <c r="AZ50">
        <v>4010.9321919275599</v>
      </c>
      <c r="BA50">
        <v>4030.0603880291601</v>
      </c>
      <c r="BB50">
        <v>4650.0985600099402</v>
      </c>
      <c r="BC50">
        <v>4187.1314027188901</v>
      </c>
      <c r="BD50">
        <v>4235</v>
      </c>
      <c r="BE50">
        <v>4108</v>
      </c>
      <c r="BF50">
        <v>4109</v>
      </c>
      <c r="BG50">
        <v>4258</v>
      </c>
      <c r="BH50">
        <v>3691</v>
      </c>
      <c r="BI50">
        <v>3716</v>
      </c>
      <c r="BJ50">
        <v>4335.62785861264</v>
      </c>
      <c r="BK50">
        <v>4382</v>
      </c>
      <c r="BL50">
        <v>4044</v>
      </c>
      <c r="BM50">
        <v>4120</v>
      </c>
      <c r="BN50">
        <v>4063</v>
      </c>
      <c r="BO50">
        <v>3962</v>
      </c>
      <c r="BP50">
        <v>3784</v>
      </c>
      <c r="BQ50">
        <v>3800</v>
      </c>
      <c r="BR50">
        <v>4058.99011874387</v>
      </c>
      <c r="BS50">
        <v>4116</v>
      </c>
      <c r="BT50">
        <v>3985</v>
      </c>
      <c r="BU50">
        <v>4326</v>
      </c>
      <c r="BV50">
        <v>4255</v>
      </c>
      <c r="BW50">
        <v>4075</v>
      </c>
      <c r="BX50">
        <v>4103</v>
      </c>
      <c r="BY50">
        <v>4081</v>
      </c>
      <c r="BZ50">
        <v>4054</v>
      </c>
      <c r="CA50">
        <v>3624</v>
      </c>
      <c r="CB50">
        <v>4076</v>
      </c>
      <c r="CC50">
        <v>3493</v>
      </c>
      <c r="CD50">
        <v>4098</v>
      </c>
      <c r="CE50">
        <v>4158</v>
      </c>
      <c r="CF50">
        <v>4193</v>
      </c>
      <c r="CG50">
        <v>4513.7435879574796</v>
      </c>
      <c r="CH50">
        <v>4130.0535075171802</v>
      </c>
      <c r="CJ50" s="5" t="s">
        <v>77</v>
      </c>
      <c r="CK50" s="7">
        <v>4113.3232860818198</v>
      </c>
      <c r="CL50" s="7">
        <v>3873.2760326842599</v>
      </c>
      <c r="CM50" s="7">
        <v>4102</v>
      </c>
      <c r="CN50" s="7">
        <v>0</v>
      </c>
      <c r="CO50" s="7">
        <v>4019.2035020348198</v>
      </c>
      <c r="CP50" s="7">
        <v>4823</v>
      </c>
    </row>
    <row r="51" spans="4:94" x14ac:dyDescent="0.25">
      <c r="D51">
        <v>50</v>
      </c>
      <c r="E51" t="s">
        <v>80</v>
      </c>
      <c r="F51" s="3">
        <v>42057</v>
      </c>
      <c r="G51" t="s">
        <v>82</v>
      </c>
      <c r="H51" t="s">
        <v>48</v>
      </c>
      <c r="I51">
        <v>3775</v>
      </c>
      <c r="J51">
        <v>4506</v>
      </c>
      <c r="K51">
        <v>4666</v>
      </c>
      <c r="L51">
        <v>5106</v>
      </c>
      <c r="M51">
        <v>4063.0171214695101</v>
      </c>
      <c r="N51">
        <v>4026.6096837528999</v>
      </c>
      <c r="O51" t="s">
        <v>48</v>
      </c>
      <c r="P51" t="s">
        <v>48</v>
      </c>
      <c r="Q51" t="s">
        <v>48</v>
      </c>
      <c r="R51" t="s">
        <v>48</v>
      </c>
      <c r="S51">
        <v>4336</v>
      </c>
      <c r="T51">
        <v>4247</v>
      </c>
      <c r="U51">
        <v>3891</v>
      </c>
      <c r="V51">
        <v>4053</v>
      </c>
      <c r="W51">
        <v>4065</v>
      </c>
      <c r="X51">
        <v>3587</v>
      </c>
      <c r="Y51">
        <v>4060</v>
      </c>
      <c r="Z51">
        <v>4089</v>
      </c>
      <c r="AA51">
        <v>4047</v>
      </c>
      <c r="AB51">
        <v>4007</v>
      </c>
      <c r="AC51">
        <v>3799</v>
      </c>
      <c r="AD51">
        <v>3821</v>
      </c>
      <c r="AE51">
        <v>4322.2091009598298</v>
      </c>
      <c r="AF51">
        <v>4441</v>
      </c>
      <c r="AG51">
        <v>4056</v>
      </c>
      <c r="AH51">
        <v>4137</v>
      </c>
      <c r="AI51">
        <v>4065</v>
      </c>
      <c r="AJ51">
        <v>4027</v>
      </c>
      <c r="AK51">
        <v>3985</v>
      </c>
      <c r="AL51">
        <v>3962</v>
      </c>
      <c r="AM51">
        <v>4088.14260695862</v>
      </c>
      <c r="AN51">
        <v>4133</v>
      </c>
      <c r="AO51">
        <v>4073</v>
      </c>
      <c r="AP51">
        <v>4248</v>
      </c>
      <c r="AQ51">
        <v>4215</v>
      </c>
      <c r="AR51">
        <v>4010</v>
      </c>
      <c r="AS51">
        <v>4080</v>
      </c>
      <c r="AT51">
        <v>4098</v>
      </c>
      <c r="AU51">
        <v>4092</v>
      </c>
      <c r="AV51">
        <v>4015</v>
      </c>
      <c r="AW51">
        <v>4156</v>
      </c>
      <c r="AX51">
        <v>3799</v>
      </c>
      <c r="AY51">
        <v>4020.67470017303</v>
      </c>
      <c r="AZ51">
        <v>4040.9321919275599</v>
      </c>
      <c r="BA51">
        <v>4060.0603880291601</v>
      </c>
      <c r="BB51">
        <v>4650.0985600099402</v>
      </c>
      <c r="BC51">
        <v>4187.1314027188901</v>
      </c>
      <c r="BD51">
        <v>4235</v>
      </c>
      <c r="BE51">
        <v>4108</v>
      </c>
      <c r="BF51">
        <v>4109</v>
      </c>
      <c r="BG51">
        <v>4258</v>
      </c>
      <c r="BH51">
        <v>3691</v>
      </c>
      <c r="BI51">
        <v>3716</v>
      </c>
      <c r="BJ51">
        <v>4335.62785861264</v>
      </c>
      <c r="BK51">
        <v>4382</v>
      </c>
      <c r="BL51">
        <v>4042</v>
      </c>
      <c r="BM51">
        <v>4116</v>
      </c>
      <c r="BN51">
        <v>4061</v>
      </c>
      <c r="BO51">
        <v>3962</v>
      </c>
      <c r="BP51">
        <v>3784</v>
      </c>
      <c r="BQ51">
        <v>3799</v>
      </c>
      <c r="BR51">
        <v>4059.7121504359302</v>
      </c>
      <c r="BS51">
        <v>4116</v>
      </c>
      <c r="BT51">
        <v>3985</v>
      </c>
      <c r="BU51">
        <v>4326</v>
      </c>
      <c r="BV51">
        <v>4255</v>
      </c>
      <c r="BW51">
        <v>4075</v>
      </c>
      <c r="BX51">
        <v>4099</v>
      </c>
      <c r="BY51">
        <v>4082</v>
      </c>
      <c r="BZ51">
        <v>4059</v>
      </c>
      <c r="CA51">
        <v>3617</v>
      </c>
      <c r="CB51">
        <v>4078</v>
      </c>
      <c r="CC51">
        <v>3483</v>
      </c>
      <c r="CD51">
        <v>4128</v>
      </c>
      <c r="CE51">
        <v>4188</v>
      </c>
      <c r="CF51">
        <v>4223</v>
      </c>
      <c r="CG51">
        <v>4513.7435879574796</v>
      </c>
      <c r="CH51">
        <v>4130.0535075171802</v>
      </c>
      <c r="CJ51" s="5" t="s">
        <v>78</v>
      </c>
      <c r="CK51" s="7">
        <v>4073.68685343691</v>
      </c>
      <c r="CL51" s="7">
        <v>3873.2760326842599</v>
      </c>
      <c r="CM51" s="7">
        <v>4043</v>
      </c>
      <c r="CN51" s="7">
        <v>0</v>
      </c>
      <c r="CO51" s="7">
        <v>4010.5189608676801</v>
      </c>
      <c r="CP51" s="7">
        <v>4625</v>
      </c>
    </row>
    <row r="52" spans="4:94" x14ac:dyDescent="0.25">
      <c r="D52">
        <v>51</v>
      </c>
      <c r="E52" t="s">
        <v>80</v>
      </c>
      <c r="F52" s="3">
        <v>42057</v>
      </c>
      <c r="G52" t="s">
        <v>83</v>
      </c>
      <c r="H52" t="s">
        <v>48</v>
      </c>
      <c r="I52">
        <v>3745</v>
      </c>
      <c r="J52">
        <v>4529</v>
      </c>
      <c r="K52">
        <v>4697</v>
      </c>
      <c r="L52">
        <v>4856</v>
      </c>
      <c r="M52">
        <v>4061.9485204627599</v>
      </c>
      <c r="N52">
        <v>4014.6940162703299</v>
      </c>
      <c r="O52" t="s">
        <v>48</v>
      </c>
      <c r="P52" t="s">
        <v>48</v>
      </c>
      <c r="Q52" t="s">
        <v>48</v>
      </c>
      <c r="R52" t="s">
        <v>48</v>
      </c>
      <c r="S52">
        <v>4313</v>
      </c>
      <c r="T52">
        <v>4220</v>
      </c>
      <c r="U52">
        <v>3893</v>
      </c>
      <c r="V52">
        <v>4035</v>
      </c>
      <c r="W52">
        <v>4046</v>
      </c>
      <c r="X52">
        <v>3576</v>
      </c>
      <c r="Y52">
        <v>4060</v>
      </c>
      <c r="Z52">
        <v>4089</v>
      </c>
      <c r="AA52">
        <v>4047</v>
      </c>
      <c r="AB52">
        <v>4007</v>
      </c>
      <c r="AC52">
        <v>3799</v>
      </c>
      <c r="AD52">
        <v>3821</v>
      </c>
      <c r="AE52">
        <v>4336.5698596555403</v>
      </c>
      <c r="AF52">
        <v>4458</v>
      </c>
      <c r="AG52">
        <v>4055</v>
      </c>
      <c r="AH52">
        <v>4135</v>
      </c>
      <c r="AI52">
        <v>4065</v>
      </c>
      <c r="AJ52">
        <v>4027</v>
      </c>
      <c r="AK52">
        <v>3985</v>
      </c>
      <c r="AL52">
        <v>3961</v>
      </c>
      <c r="AM52">
        <v>4085.5223571777201</v>
      </c>
      <c r="AN52">
        <v>4133</v>
      </c>
      <c r="AO52">
        <v>4073</v>
      </c>
      <c r="AP52">
        <v>4248</v>
      </c>
      <c r="AQ52">
        <v>4237</v>
      </c>
      <c r="AR52">
        <v>4010</v>
      </c>
      <c r="AS52">
        <v>4080</v>
      </c>
      <c r="AT52">
        <v>4101</v>
      </c>
      <c r="AU52">
        <v>4092</v>
      </c>
      <c r="AV52">
        <v>4002</v>
      </c>
      <c r="AW52">
        <v>4154</v>
      </c>
      <c r="AX52">
        <v>3783</v>
      </c>
      <c r="AY52">
        <v>4022.67470017303</v>
      </c>
      <c r="AZ52">
        <v>4042.9321919275599</v>
      </c>
      <c r="BA52">
        <v>4062.0603880291601</v>
      </c>
      <c r="BB52">
        <v>4650.0985600099402</v>
      </c>
      <c r="BC52">
        <v>4187.1314027188901</v>
      </c>
      <c r="BD52">
        <v>4235</v>
      </c>
      <c r="BE52">
        <v>4108</v>
      </c>
      <c r="BF52">
        <v>4109</v>
      </c>
      <c r="BG52">
        <v>4258</v>
      </c>
      <c r="BH52">
        <v>3691</v>
      </c>
      <c r="BI52">
        <v>3716</v>
      </c>
      <c r="BJ52">
        <v>4342.4159378494296</v>
      </c>
      <c r="BK52">
        <v>4403</v>
      </c>
      <c r="BL52">
        <v>4042</v>
      </c>
      <c r="BM52">
        <v>4114</v>
      </c>
      <c r="BN52">
        <v>4061</v>
      </c>
      <c r="BO52">
        <v>3961</v>
      </c>
      <c r="BP52">
        <v>3784</v>
      </c>
      <c r="BQ52">
        <v>3799</v>
      </c>
      <c r="BR52">
        <v>4055.6340664231798</v>
      </c>
      <c r="BS52">
        <v>4116</v>
      </c>
      <c r="BT52">
        <v>3985</v>
      </c>
      <c r="BU52">
        <v>4326</v>
      </c>
      <c r="BV52">
        <v>4277</v>
      </c>
      <c r="BW52">
        <v>4075</v>
      </c>
      <c r="BX52">
        <v>4099</v>
      </c>
      <c r="BY52">
        <v>4084</v>
      </c>
      <c r="BZ52">
        <v>4060</v>
      </c>
      <c r="CA52">
        <v>3605</v>
      </c>
      <c r="CB52">
        <v>4076</v>
      </c>
      <c r="CC52">
        <v>3468</v>
      </c>
      <c r="CD52">
        <v>4130</v>
      </c>
      <c r="CE52">
        <v>4190</v>
      </c>
      <c r="CF52">
        <v>4225</v>
      </c>
      <c r="CG52">
        <v>4513.7435879574796</v>
      </c>
      <c r="CH52">
        <v>4130.0535075171802</v>
      </c>
      <c r="CJ52" s="5" t="s">
        <v>79</v>
      </c>
      <c r="CK52" s="7">
        <v>4096.00281994129</v>
      </c>
      <c r="CL52" s="7">
        <v>3873.2760326842599</v>
      </c>
      <c r="CM52" s="7">
        <v>4062</v>
      </c>
      <c r="CN52" s="7">
        <v>0</v>
      </c>
      <c r="CO52" s="7">
        <v>4011.1994055505502</v>
      </c>
      <c r="CP52" s="7">
        <v>4676</v>
      </c>
    </row>
    <row r="53" spans="4:94" x14ac:dyDescent="0.25">
      <c r="D53">
        <v>52</v>
      </c>
      <c r="E53" t="s">
        <v>80</v>
      </c>
      <c r="F53" s="3">
        <v>42057</v>
      </c>
      <c r="G53" t="s">
        <v>84</v>
      </c>
      <c r="H53" t="s">
        <v>48</v>
      </c>
      <c r="I53">
        <v>3744</v>
      </c>
      <c r="J53">
        <v>4602</v>
      </c>
      <c r="K53">
        <v>4663</v>
      </c>
      <c r="L53">
        <v>4781</v>
      </c>
      <c r="M53">
        <v>4073.0811353044801</v>
      </c>
      <c r="N53">
        <v>4030.6950908754802</v>
      </c>
      <c r="O53" t="s">
        <v>48</v>
      </c>
      <c r="P53" t="s">
        <v>48</v>
      </c>
      <c r="Q53" t="s">
        <v>48</v>
      </c>
      <c r="R53" t="s">
        <v>48</v>
      </c>
      <c r="S53">
        <v>4319</v>
      </c>
      <c r="T53">
        <v>4226</v>
      </c>
      <c r="U53">
        <v>3890</v>
      </c>
      <c r="V53">
        <v>4037</v>
      </c>
      <c r="W53">
        <v>4050</v>
      </c>
      <c r="X53">
        <v>3612</v>
      </c>
      <c r="Y53">
        <v>4060</v>
      </c>
      <c r="Z53">
        <v>4089</v>
      </c>
      <c r="AA53">
        <v>4047</v>
      </c>
      <c r="AB53">
        <v>4007</v>
      </c>
      <c r="AC53">
        <v>3799</v>
      </c>
      <c r="AD53">
        <v>3821</v>
      </c>
      <c r="AE53">
        <v>4336.5698596555403</v>
      </c>
      <c r="AF53">
        <v>4458</v>
      </c>
      <c r="AG53">
        <v>4053</v>
      </c>
      <c r="AH53">
        <v>4135</v>
      </c>
      <c r="AI53">
        <v>4065</v>
      </c>
      <c r="AJ53">
        <v>4026</v>
      </c>
      <c r="AK53">
        <v>3984</v>
      </c>
      <c r="AL53">
        <v>3960</v>
      </c>
      <c r="AM53">
        <v>4086.36245234334</v>
      </c>
      <c r="AN53">
        <v>4135</v>
      </c>
      <c r="AO53">
        <v>4073</v>
      </c>
      <c r="AP53">
        <v>4248</v>
      </c>
      <c r="AQ53">
        <v>4237</v>
      </c>
      <c r="AR53">
        <v>4010</v>
      </c>
      <c r="AS53">
        <v>4081</v>
      </c>
      <c r="AT53">
        <v>4104</v>
      </c>
      <c r="AU53">
        <v>4111</v>
      </c>
      <c r="AV53">
        <v>4018</v>
      </c>
      <c r="AW53">
        <v>4170</v>
      </c>
      <c r="AX53">
        <v>3799</v>
      </c>
      <c r="AY53">
        <v>4019.67470017303</v>
      </c>
      <c r="AZ53">
        <v>4039.9321919275599</v>
      </c>
      <c r="BA53">
        <v>4059.0603880291601</v>
      </c>
      <c r="BB53">
        <v>4650.0985600099402</v>
      </c>
      <c r="BC53">
        <v>4187.1314027188901</v>
      </c>
      <c r="BD53">
        <v>4235</v>
      </c>
      <c r="BE53">
        <v>4108</v>
      </c>
      <c r="BF53">
        <v>4109</v>
      </c>
      <c r="BG53">
        <v>4258</v>
      </c>
      <c r="BH53">
        <v>3691</v>
      </c>
      <c r="BI53">
        <v>3716</v>
      </c>
      <c r="BJ53">
        <v>4342.4159378494296</v>
      </c>
      <c r="BK53">
        <v>4403</v>
      </c>
      <c r="BL53">
        <v>4041</v>
      </c>
      <c r="BM53">
        <v>4113</v>
      </c>
      <c r="BN53">
        <v>4060</v>
      </c>
      <c r="BO53">
        <v>3961</v>
      </c>
      <c r="BP53">
        <v>3784</v>
      </c>
      <c r="BQ53">
        <v>3799</v>
      </c>
      <c r="BR53">
        <v>4055.9103195238399</v>
      </c>
      <c r="BS53">
        <v>4118</v>
      </c>
      <c r="BT53">
        <v>3985</v>
      </c>
      <c r="BU53">
        <v>4326</v>
      </c>
      <c r="BV53">
        <v>4277</v>
      </c>
      <c r="BW53">
        <v>4075</v>
      </c>
      <c r="BX53">
        <v>4100</v>
      </c>
      <c r="BY53">
        <v>4086</v>
      </c>
      <c r="BZ53">
        <v>4078</v>
      </c>
      <c r="CA53">
        <v>3619</v>
      </c>
      <c r="CB53">
        <v>4092</v>
      </c>
      <c r="CC53">
        <v>3483</v>
      </c>
      <c r="CD53">
        <v>4127</v>
      </c>
      <c r="CE53">
        <v>4187</v>
      </c>
      <c r="CF53">
        <v>4222</v>
      </c>
      <c r="CG53">
        <v>4513.7435879574796</v>
      </c>
      <c r="CH53">
        <v>4130.0535075171802</v>
      </c>
      <c r="CJ53" s="5" t="s">
        <v>81</v>
      </c>
      <c r="CK53" s="7">
        <v>4066.6927665254998</v>
      </c>
      <c r="CL53" s="7">
        <v>4650.0985600099402</v>
      </c>
      <c r="CM53" s="7">
        <v>4066</v>
      </c>
      <c r="CN53" s="7">
        <v>0</v>
      </c>
      <c r="CO53" s="7">
        <v>4027.5236246569898</v>
      </c>
      <c r="CP53" s="7">
        <v>4465</v>
      </c>
    </row>
    <row r="54" spans="4:94" x14ac:dyDescent="0.25">
      <c r="D54">
        <v>53</v>
      </c>
      <c r="E54" t="s">
        <v>80</v>
      </c>
      <c r="F54" s="3">
        <v>42057</v>
      </c>
      <c r="G54" t="s">
        <v>85</v>
      </c>
      <c r="H54" t="s">
        <v>48</v>
      </c>
      <c r="I54">
        <v>3609</v>
      </c>
      <c r="J54">
        <v>4551</v>
      </c>
      <c r="K54">
        <v>4735</v>
      </c>
      <c r="L54">
        <v>5171</v>
      </c>
      <c r="M54">
        <v>3947.8001943074401</v>
      </c>
      <c r="N54">
        <v>4126.6997690037897</v>
      </c>
      <c r="O54" t="s">
        <v>48</v>
      </c>
      <c r="P54" t="s">
        <v>48</v>
      </c>
      <c r="Q54" t="s">
        <v>48</v>
      </c>
      <c r="R54" t="s">
        <v>48</v>
      </c>
      <c r="S54">
        <v>4305</v>
      </c>
      <c r="T54">
        <v>4226</v>
      </c>
      <c r="U54">
        <v>3848</v>
      </c>
      <c r="V54">
        <v>3862</v>
      </c>
      <c r="W54">
        <v>3855</v>
      </c>
      <c r="X54">
        <v>3588</v>
      </c>
      <c r="Y54">
        <v>4064</v>
      </c>
      <c r="Z54">
        <v>3913</v>
      </c>
      <c r="AA54">
        <v>4032</v>
      </c>
      <c r="AB54">
        <v>4015</v>
      </c>
      <c r="AC54">
        <v>3813</v>
      </c>
      <c r="AD54">
        <v>3795</v>
      </c>
      <c r="AE54">
        <v>4096.4399634506599</v>
      </c>
      <c r="AF54">
        <v>4127</v>
      </c>
      <c r="AG54">
        <v>4032</v>
      </c>
      <c r="AH54">
        <v>3980</v>
      </c>
      <c r="AI54">
        <v>4096</v>
      </c>
      <c r="AJ54">
        <v>3986</v>
      </c>
      <c r="AK54">
        <v>3972</v>
      </c>
      <c r="AL54">
        <v>3965</v>
      </c>
      <c r="AM54">
        <v>3820.7997117637201</v>
      </c>
      <c r="AN54">
        <v>3822</v>
      </c>
      <c r="AO54">
        <v>4069</v>
      </c>
      <c r="AP54">
        <v>4008</v>
      </c>
      <c r="AQ54">
        <v>3748</v>
      </c>
      <c r="AR54">
        <v>4019</v>
      </c>
      <c r="AS54">
        <v>3981</v>
      </c>
      <c r="AT54">
        <v>3852</v>
      </c>
      <c r="AU54">
        <v>4076</v>
      </c>
      <c r="AV54">
        <v>4031</v>
      </c>
      <c r="AW54">
        <v>4106</v>
      </c>
      <c r="AX54">
        <v>3762</v>
      </c>
      <c r="AY54">
        <v>3978.3619145061598</v>
      </c>
      <c r="AZ54">
        <v>3989.58134110119</v>
      </c>
      <c r="BA54">
        <v>4002.7493196647201</v>
      </c>
      <c r="BB54">
        <v>4670.6917204775</v>
      </c>
      <c r="BC54">
        <v>4187.1314027188901</v>
      </c>
      <c r="BD54">
        <v>4422</v>
      </c>
      <c r="BE54">
        <v>3909</v>
      </c>
      <c r="BF54">
        <v>4208</v>
      </c>
      <c r="BG54">
        <v>4224</v>
      </c>
      <c r="BH54">
        <v>3706</v>
      </c>
      <c r="BI54">
        <v>3720</v>
      </c>
      <c r="BJ54">
        <v>4060.7513076228702</v>
      </c>
      <c r="BK54">
        <v>3937</v>
      </c>
      <c r="BL54">
        <v>4163</v>
      </c>
      <c r="BM54">
        <v>4005</v>
      </c>
      <c r="BN54">
        <v>4165</v>
      </c>
      <c r="BO54">
        <v>4003</v>
      </c>
      <c r="BP54">
        <v>3794</v>
      </c>
      <c r="BQ54">
        <v>3814</v>
      </c>
      <c r="BR54">
        <v>3789.2495782190099</v>
      </c>
      <c r="BS54">
        <v>3786</v>
      </c>
      <c r="BT54">
        <v>3986</v>
      </c>
      <c r="BU54">
        <v>3794</v>
      </c>
      <c r="BV54">
        <v>3671</v>
      </c>
      <c r="BW54">
        <v>4020</v>
      </c>
      <c r="BX54">
        <v>3942</v>
      </c>
      <c r="BY54">
        <v>3810</v>
      </c>
      <c r="BZ54">
        <v>4074</v>
      </c>
      <c r="CA54">
        <v>3555</v>
      </c>
      <c r="CB54">
        <v>4033</v>
      </c>
      <c r="CC54">
        <v>3316</v>
      </c>
      <c r="CD54">
        <v>4090</v>
      </c>
      <c r="CE54">
        <v>4107</v>
      </c>
      <c r="CF54">
        <v>4152</v>
      </c>
      <c r="CG54">
        <v>4392.3443110701601</v>
      </c>
      <c r="CH54">
        <v>4132.6019837076501</v>
      </c>
      <c r="CJ54" s="5" t="s">
        <v>82</v>
      </c>
      <c r="CK54" s="7">
        <v>4063.0171214695101</v>
      </c>
      <c r="CL54" s="7">
        <v>4650.0985600099402</v>
      </c>
      <c r="CM54" s="7">
        <v>4065</v>
      </c>
      <c r="CN54" s="7">
        <v>0</v>
      </c>
      <c r="CO54" s="7">
        <v>4026.6096837528999</v>
      </c>
      <c r="CP54" s="7">
        <v>4506</v>
      </c>
    </row>
    <row r="55" spans="4:94" x14ac:dyDescent="0.25">
      <c r="D55">
        <v>54</v>
      </c>
      <c r="E55" t="s">
        <v>80</v>
      </c>
      <c r="F55" s="3">
        <v>42057</v>
      </c>
      <c r="G55" t="s">
        <v>86</v>
      </c>
      <c r="H55" t="s">
        <v>48</v>
      </c>
      <c r="I55">
        <v>3605</v>
      </c>
      <c r="J55">
        <v>4569</v>
      </c>
      <c r="K55">
        <v>4791</v>
      </c>
      <c r="L55">
        <v>5180</v>
      </c>
      <c r="M55">
        <v>3970.6781101136698</v>
      </c>
      <c r="N55">
        <v>4116.8277319817198</v>
      </c>
      <c r="O55" t="s">
        <v>48</v>
      </c>
      <c r="P55" t="s">
        <v>48</v>
      </c>
      <c r="Q55" t="s">
        <v>48</v>
      </c>
      <c r="R55" t="s">
        <v>48</v>
      </c>
      <c r="S55">
        <v>4287</v>
      </c>
      <c r="T55">
        <v>4200</v>
      </c>
      <c r="U55">
        <v>3821</v>
      </c>
      <c r="V55">
        <v>3850</v>
      </c>
      <c r="W55">
        <v>3842</v>
      </c>
      <c r="X55">
        <v>3621</v>
      </c>
      <c r="Y55">
        <v>4064</v>
      </c>
      <c r="Z55">
        <v>3913</v>
      </c>
      <c r="AA55">
        <v>4032</v>
      </c>
      <c r="AB55">
        <v>4015</v>
      </c>
      <c r="AC55">
        <v>3813</v>
      </c>
      <c r="AD55">
        <v>3795</v>
      </c>
      <c r="AE55">
        <v>4096.4399634506599</v>
      </c>
      <c r="AF55">
        <v>4127</v>
      </c>
      <c r="AG55">
        <v>4030</v>
      </c>
      <c r="AH55">
        <v>3980</v>
      </c>
      <c r="AI55">
        <v>4094</v>
      </c>
      <c r="AJ55">
        <v>3984</v>
      </c>
      <c r="AK55">
        <v>3971</v>
      </c>
      <c r="AL55">
        <v>3964</v>
      </c>
      <c r="AM55">
        <v>3819.7806584054902</v>
      </c>
      <c r="AN55">
        <v>3819</v>
      </c>
      <c r="AO55">
        <v>4069</v>
      </c>
      <c r="AP55">
        <v>4008</v>
      </c>
      <c r="AQ55">
        <v>3748</v>
      </c>
      <c r="AR55">
        <v>4019</v>
      </c>
      <c r="AS55">
        <v>3977</v>
      </c>
      <c r="AT55">
        <v>3855</v>
      </c>
      <c r="AU55">
        <v>4080</v>
      </c>
      <c r="AV55">
        <v>4032</v>
      </c>
      <c r="AW55">
        <v>4109</v>
      </c>
      <c r="AX55">
        <v>3763</v>
      </c>
      <c r="AY55">
        <v>3951.3619145061598</v>
      </c>
      <c r="AZ55">
        <v>3962.58134110119</v>
      </c>
      <c r="BA55">
        <v>3975.7493196647201</v>
      </c>
      <c r="BB55">
        <v>4670.6917204775</v>
      </c>
      <c r="BC55">
        <v>4187.1314027188901</v>
      </c>
      <c r="BD55">
        <v>4422</v>
      </c>
      <c r="BE55">
        <v>3909</v>
      </c>
      <c r="BF55">
        <v>4208</v>
      </c>
      <c r="BG55">
        <v>4224</v>
      </c>
      <c r="BH55">
        <v>3706</v>
      </c>
      <c r="BI55">
        <v>3720</v>
      </c>
      <c r="BJ55">
        <v>4060.7513076228702</v>
      </c>
      <c r="BK55">
        <v>3937</v>
      </c>
      <c r="BL55">
        <v>4163</v>
      </c>
      <c r="BM55">
        <v>4005</v>
      </c>
      <c r="BN55">
        <v>4164</v>
      </c>
      <c r="BO55">
        <v>4003</v>
      </c>
      <c r="BP55">
        <v>3794</v>
      </c>
      <c r="BQ55">
        <v>3813</v>
      </c>
      <c r="BR55">
        <v>3788.8781632702598</v>
      </c>
      <c r="BS55">
        <v>3783</v>
      </c>
      <c r="BT55">
        <v>3986</v>
      </c>
      <c r="BU55">
        <v>3794</v>
      </c>
      <c r="BV55">
        <v>3671</v>
      </c>
      <c r="BW55">
        <v>4020</v>
      </c>
      <c r="BX55">
        <v>3940</v>
      </c>
      <c r="BY55">
        <v>3812</v>
      </c>
      <c r="BZ55">
        <v>4078</v>
      </c>
      <c r="CA55">
        <v>3557</v>
      </c>
      <c r="CB55">
        <v>4036</v>
      </c>
      <c r="CC55">
        <v>3317</v>
      </c>
      <c r="CD55">
        <v>4063</v>
      </c>
      <c r="CE55">
        <v>4080</v>
      </c>
      <c r="CF55">
        <v>4125</v>
      </c>
      <c r="CG55">
        <v>4392.3443110701601</v>
      </c>
      <c r="CH55">
        <v>4132.6019837076501</v>
      </c>
      <c r="CJ55" s="5" t="s">
        <v>83</v>
      </c>
      <c r="CK55" s="7">
        <v>4061.9485204627599</v>
      </c>
      <c r="CL55" s="7">
        <v>4650.0985600099402</v>
      </c>
      <c r="CM55" s="7">
        <v>4046</v>
      </c>
      <c r="CN55" s="7">
        <v>0</v>
      </c>
      <c r="CO55" s="7">
        <v>4014.6940162703299</v>
      </c>
      <c r="CP55" s="7">
        <v>4529</v>
      </c>
    </row>
    <row r="56" spans="4:94" x14ac:dyDescent="0.25">
      <c r="D56">
        <v>55</v>
      </c>
      <c r="E56" t="s">
        <v>80</v>
      </c>
      <c r="F56" s="3">
        <v>42057</v>
      </c>
      <c r="G56" t="s">
        <v>87</v>
      </c>
      <c r="H56" t="s">
        <v>48</v>
      </c>
      <c r="I56">
        <v>3631</v>
      </c>
      <c r="J56">
        <v>4620</v>
      </c>
      <c r="K56">
        <v>4809</v>
      </c>
      <c r="L56">
        <v>5189</v>
      </c>
      <c r="M56">
        <v>3954.3491884901</v>
      </c>
      <c r="N56">
        <v>4134.32832500731</v>
      </c>
      <c r="O56" t="s">
        <v>48</v>
      </c>
      <c r="P56" t="s">
        <v>48</v>
      </c>
      <c r="Q56" t="s">
        <v>48</v>
      </c>
      <c r="R56" t="s">
        <v>48</v>
      </c>
      <c r="S56">
        <v>4318</v>
      </c>
      <c r="T56">
        <v>4229</v>
      </c>
      <c r="U56">
        <v>3841</v>
      </c>
      <c r="V56">
        <v>3953</v>
      </c>
      <c r="W56">
        <v>3893</v>
      </c>
      <c r="X56">
        <v>3565</v>
      </c>
      <c r="Y56">
        <v>4064</v>
      </c>
      <c r="Z56">
        <v>3912</v>
      </c>
      <c r="AA56">
        <v>4032</v>
      </c>
      <c r="AB56">
        <v>4015</v>
      </c>
      <c r="AC56">
        <v>3813</v>
      </c>
      <c r="AD56">
        <v>3795</v>
      </c>
      <c r="AE56">
        <v>4096.4399634506599</v>
      </c>
      <c r="AF56">
        <v>4127</v>
      </c>
      <c r="AG56">
        <v>4030</v>
      </c>
      <c r="AH56">
        <v>3980</v>
      </c>
      <c r="AI56">
        <v>4094</v>
      </c>
      <c r="AJ56">
        <v>3985</v>
      </c>
      <c r="AK56">
        <v>3971</v>
      </c>
      <c r="AL56">
        <v>3965</v>
      </c>
      <c r="AM56">
        <v>3823.8119101879402</v>
      </c>
      <c r="AN56">
        <v>3826</v>
      </c>
      <c r="AO56">
        <v>4069</v>
      </c>
      <c r="AP56">
        <v>3994</v>
      </c>
      <c r="AQ56">
        <v>3764</v>
      </c>
      <c r="AR56">
        <v>4019</v>
      </c>
      <c r="AS56">
        <v>3991</v>
      </c>
      <c r="AT56">
        <v>3862</v>
      </c>
      <c r="AU56">
        <v>4097</v>
      </c>
      <c r="AV56">
        <v>4057</v>
      </c>
      <c r="AW56">
        <v>4127</v>
      </c>
      <c r="AX56">
        <v>3791</v>
      </c>
      <c r="AY56">
        <v>3971.3619145061598</v>
      </c>
      <c r="AZ56">
        <v>3982.58134110119</v>
      </c>
      <c r="BA56">
        <v>3995.7493196647201</v>
      </c>
      <c r="BB56">
        <v>4670.6917204775</v>
      </c>
      <c r="BC56">
        <v>4187.1314027188901</v>
      </c>
      <c r="BD56">
        <v>4422</v>
      </c>
      <c r="BE56">
        <v>3909</v>
      </c>
      <c r="BF56">
        <v>4208</v>
      </c>
      <c r="BG56">
        <v>4224</v>
      </c>
      <c r="BH56">
        <v>3706</v>
      </c>
      <c r="BI56">
        <v>3720</v>
      </c>
      <c r="BJ56">
        <v>4060.7513076228702</v>
      </c>
      <c r="BK56">
        <v>3937</v>
      </c>
      <c r="BL56">
        <v>4164</v>
      </c>
      <c r="BM56">
        <v>4005</v>
      </c>
      <c r="BN56">
        <v>4167</v>
      </c>
      <c r="BO56">
        <v>4003</v>
      </c>
      <c r="BP56">
        <v>3795</v>
      </c>
      <c r="BQ56">
        <v>3814</v>
      </c>
      <c r="BR56">
        <v>3792.5597100843001</v>
      </c>
      <c r="BS56">
        <v>3788</v>
      </c>
      <c r="BT56">
        <v>3986</v>
      </c>
      <c r="BU56">
        <v>3780</v>
      </c>
      <c r="BV56">
        <v>3687</v>
      </c>
      <c r="BW56">
        <v>4020</v>
      </c>
      <c r="BX56">
        <v>3954</v>
      </c>
      <c r="BY56">
        <v>3823</v>
      </c>
      <c r="BZ56">
        <v>4094</v>
      </c>
      <c r="CA56">
        <v>3579</v>
      </c>
      <c r="CB56">
        <v>4053</v>
      </c>
      <c r="CC56">
        <v>3341</v>
      </c>
      <c r="CD56">
        <v>4083</v>
      </c>
      <c r="CE56">
        <v>4100</v>
      </c>
      <c r="CF56">
        <v>4145</v>
      </c>
      <c r="CG56">
        <v>4392.3443110701601</v>
      </c>
      <c r="CH56">
        <v>4132.6019837076501</v>
      </c>
      <c r="CJ56" s="5" t="s">
        <v>84</v>
      </c>
      <c r="CK56" s="7">
        <v>4073.0811353044801</v>
      </c>
      <c r="CL56" s="7">
        <v>4650.0985600099402</v>
      </c>
      <c r="CM56" s="7">
        <v>4050</v>
      </c>
      <c r="CN56" s="7">
        <v>0</v>
      </c>
      <c r="CO56" s="7">
        <v>4030.6950908754802</v>
      </c>
      <c r="CP56" s="7">
        <v>4602</v>
      </c>
    </row>
    <row r="57" spans="4:94" x14ac:dyDescent="0.25">
      <c r="D57">
        <v>56</v>
      </c>
      <c r="E57" t="s">
        <v>80</v>
      </c>
      <c r="F57" s="3">
        <v>42057</v>
      </c>
      <c r="G57" t="s">
        <v>88</v>
      </c>
      <c r="H57" t="s">
        <v>48</v>
      </c>
      <c r="I57">
        <v>3676</v>
      </c>
      <c r="J57">
        <v>4641</v>
      </c>
      <c r="K57">
        <v>4847</v>
      </c>
      <c r="L57">
        <v>5092</v>
      </c>
      <c r="M57">
        <v>4046.8136911503798</v>
      </c>
      <c r="N57">
        <v>4139.5885000374301</v>
      </c>
      <c r="O57" t="s">
        <v>48</v>
      </c>
      <c r="P57" t="s">
        <v>48</v>
      </c>
      <c r="Q57" t="s">
        <v>48</v>
      </c>
      <c r="R57" t="s">
        <v>48</v>
      </c>
      <c r="S57">
        <v>4342</v>
      </c>
      <c r="T57">
        <v>4250</v>
      </c>
      <c r="U57">
        <v>3827</v>
      </c>
      <c r="V57">
        <v>3932</v>
      </c>
      <c r="W57">
        <v>3939</v>
      </c>
      <c r="X57">
        <v>3603</v>
      </c>
      <c r="Y57">
        <v>4064</v>
      </c>
      <c r="Z57">
        <v>3912</v>
      </c>
      <c r="AA57">
        <v>4032</v>
      </c>
      <c r="AB57">
        <v>4015</v>
      </c>
      <c r="AC57">
        <v>3813</v>
      </c>
      <c r="AD57">
        <v>3795</v>
      </c>
      <c r="AE57">
        <v>4391.9981448402496</v>
      </c>
      <c r="AF57">
        <v>4550</v>
      </c>
      <c r="AG57">
        <v>4030</v>
      </c>
      <c r="AH57">
        <v>3980</v>
      </c>
      <c r="AI57">
        <v>4094</v>
      </c>
      <c r="AJ57">
        <v>3985</v>
      </c>
      <c r="AK57">
        <v>3972</v>
      </c>
      <c r="AL57">
        <v>3966</v>
      </c>
      <c r="AM57">
        <v>4100.8197815270796</v>
      </c>
      <c r="AN57">
        <v>4144</v>
      </c>
      <c r="AO57">
        <v>4069</v>
      </c>
      <c r="AP57">
        <v>4250</v>
      </c>
      <c r="AQ57">
        <v>4061</v>
      </c>
      <c r="AR57">
        <v>4019</v>
      </c>
      <c r="AS57">
        <v>4086</v>
      </c>
      <c r="AT57">
        <v>4064</v>
      </c>
      <c r="AU57">
        <v>4109</v>
      </c>
      <c r="AV57">
        <v>4087</v>
      </c>
      <c r="AW57">
        <v>4142</v>
      </c>
      <c r="AX57">
        <v>3825</v>
      </c>
      <c r="AY57">
        <v>3957.3619145061598</v>
      </c>
      <c r="AZ57">
        <v>3968.58134110119</v>
      </c>
      <c r="BA57">
        <v>3981.7493196647201</v>
      </c>
      <c r="BB57">
        <v>4670.6917204775</v>
      </c>
      <c r="BC57">
        <v>4187.1314027188901</v>
      </c>
      <c r="BD57">
        <v>4422</v>
      </c>
      <c r="BE57">
        <v>3909</v>
      </c>
      <c r="BF57">
        <v>4208</v>
      </c>
      <c r="BG57">
        <v>4224</v>
      </c>
      <c r="BH57">
        <v>3706</v>
      </c>
      <c r="BI57">
        <v>3720</v>
      </c>
      <c r="BJ57">
        <v>4359.9059190064499</v>
      </c>
      <c r="BK57">
        <v>4294</v>
      </c>
      <c r="BL57">
        <v>4165</v>
      </c>
      <c r="BM57">
        <v>4005</v>
      </c>
      <c r="BN57">
        <v>4168</v>
      </c>
      <c r="BO57">
        <v>4003</v>
      </c>
      <c r="BP57">
        <v>3796</v>
      </c>
      <c r="BQ57">
        <v>3815</v>
      </c>
      <c r="BR57">
        <v>4058.2388461763098</v>
      </c>
      <c r="BS57">
        <v>4102</v>
      </c>
      <c r="BT57">
        <v>3986</v>
      </c>
      <c r="BU57">
        <v>4022</v>
      </c>
      <c r="BV57">
        <v>3978</v>
      </c>
      <c r="BW57">
        <v>4020</v>
      </c>
      <c r="BX57">
        <v>4062</v>
      </c>
      <c r="BY57">
        <v>4021</v>
      </c>
      <c r="BZ57">
        <v>4107</v>
      </c>
      <c r="CA57">
        <v>3605</v>
      </c>
      <c r="CB57">
        <v>4069</v>
      </c>
      <c r="CC57">
        <v>3371</v>
      </c>
      <c r="CD57">
        <v>4069</v>
      </c>
      <c r="CE57">
        <v>4086</v>
      </c>
      <c r="CF57">
        <v>4131</v>
      </c>
      <c r="CG57">
        <v>4392.3443110701601</v>
      </c>
      <c r="CH57">
        <v>4132.6019837076501</v>
      </c>
      <c r="CJ57" s="5" t="s">
        <v>85</v>
      </c>
      <c r="CK57" s="7">
        <v>3947.8001943074401</v>
      </c>
      <c r="CL57" s="7">
        <v>4670.6917204775</v>
      </c>
      <c r="CM57" s="7">
        <v>3855</v>
      </c>
      <c r="CN57" s="7">
        <v>0</v>
      </c>
      <c r="CO57" s="7">
        <v>4126.6997690037897</v>
      </c>
      <c r="CP57" s="7">
        <v>4551</v>
      </c>
    </row>
    <row r="58" spans="4:94" x14ac:dyDescent="0.25">
      <c r="D58">
        <v>57</v>
      </c>
      <c r="E58" t="s">
        <v>89</v>
      </c>
      <c r="F58" s="3">
        <v>42057</v>
      </c>
      <c r="G58" t="s">
        <v>90</v>
      </c>
      <c r="H58" t="s">
        <v>48</v>
      </c>
      <c r="I58">
        <v>3628</v>
      </c>
      <c r="J58">
        <v>4749</v>
      </c>
      <c r="K58">
        <v>4918</v>
      </c>
      <c r="L58">
        <v>5061</v>
      </c>
      <c r="M58">
        <v>3994.8941449541298</v>
      </c>
      <c r="N58">
        <v>4103.0087893883601</v>
      </c>
      <c r="O58" t="s">
        <v>48</v>
      </c>
      <c r="P58" t="s">
        <v>48</v>
      </c>
      <c r="Q58" t="s">
        <v>48</v>
      </c>
      <c r="R58" t="s">
        <v>48</v>
      </c>
      <c r="S58">
        <v>4384</v>
      </c>
      <c r="T58">
        <v>4298</v>
      </c>
      <c r="U58">
        <v>3763</v>
      </c>
      <c r="V58">
        <v>3948</v>
      </c>
      <c r="W58">
        <v>3953</v>
      </c>
      <c r="X58">
        <v>3668</v>
      </c>
      <c r="Y58">
        <v>4027</v>
      </c>
      <c r="Z58">
        <v>3967</v>
      </c>
      <c r="AA58">
        <v>4014</v>
      </c>
      <c r="AB58">
        <v>3988</v>
      </c>
      <c r="AC58">
        <v>3825</v>
      </c>
      <c r="AD58">
        <v>3789</v>
      </c>
      <c r="AE58">
        <v>4036.89897190172</v>
      </c>
      <c r="AF58">
        <v>4139</v>
      </c>
      <c r="AG58">
        <v>3965</v>
      </c>
      <c r="AH58">
        <v>4092</v>
      </c>
      <c r="AI58">
        <v>4001</v>
      </c>
      <c r="AJ58">
        <v>4004</v>
      </c>
      <c r="AK58">
        <v>3957</v>
      </c>
      <c r="AL58">
        <v>3964</v>
      </c>
      <c r="AM58">
        <v>3874.00187089257</v>
      </c>
      <c r="AN58">
        <v>3889</v>
      </c>
      <c r="AO58">
        <v>4045</v>
      </c>
      <c r="AP58">
        <v>3787</v>
      </c>
      <c r="AQ58">
        <v>3872</v>
      </c>
      <c r="AR58">
        <v>3966</v>
      </c>
      <c r="AS58">
        <v>4023</v>
      </c>
      <c r="AT58">
        <v>3905</v>
      </c>
      <c r="AU58">
        <v>4130</v>
      </c>
      <c r="AV58">
        <v>4158</v>
      </c>
      <c r="AW58">
        <v>4146</v>
      </c>
      <c r="AX58">
        <v>3899</v>
      </c>
      <c r="AY58">
        <v>3889.5408434513802</v>
      </c>
      <c r="AZ58">
        <v>3901.0902644412199</v>
      </c>
      <c r="BA58">
        <v>3911.4727835436502</v>
      </c>
      <c r="BB58">
        <v>4963.3194497304603</v>
      </c>
      <c r="BC58">
        <v>4102.4438848542404</v>
      </c>
      <c r="BD58">
        <v>4341</v>
      </c>
      <c r="BE58">
        <v>3965</v>
      </c>
      <c r="BF58">
        <v>4205</v>
      </c>
      <c r="BG58">
        <v>4353</v>
      </c>
      <c r="BH58">
        <v>3704</v>
      </c>
      <c r="BI58">
        <v>3693</v>
      </c>
      <c r="BJ58">
        <v>3993.6730898607202</v>
      </c>
      <c r="BK58">
        <v>4011</v>
      </c>
      <c r="BL58">
        <v>4178</v>
      </c>
      <c r="BM58">
        <v>4062</v>
      </c>
      <c r="BN58">
        <v>4172</v>
      </c>
      <c r="BO58">
        <v>4052</v>
      </c>
      <c r="BP58">
        <v>3827</v>
      </c>
      <c r="BQ58">
        <v>3843</v>
      </c>
      <c r="BR58">
        <v>3869.8516046075001</v>
      </c>
      <c r="BS58">
        <v>3862</v>
      </c>
      <c r="BT58">
        <v>3960</v>
      </c>
      <c r="BU58">
        <v>3797</v>
      </c>
      <c r="BV58">
        <v>3732</v>
      </c>
      <c r="BW58">
        <v>4011</v>
      </c>
      <c r="BX58">
        <v>3975</v>
      </c>
      <c r="BY58">
        <v>3872</v>
      </c>
      <c r="BZ58">
        <v>4137</v>
      </c>
      <c r="CA58">
        <v>3615</v>
      </c>
      <c r="CB58">
        <v>4088</v>
      </c>
      <c r="CC58">
        <v>3367</v>
      </c>
      <c r="CD58">
        <v>3997</v>
      </c>
      <c r="CE58">
        <v>4018</v>
      </c>
      <c r="CF58">
        <v>4036</v>
      </c>
      <c r="CG58">
        <v>4109.9613941922098</v>
      </c>
      <c r="CH58">
        <v>4091.0477149539302</v>
      </c>
      <c r="CJ58" s="5" t="s">
        <v>86</v>
      </c>
      <c r="CK58" s="7">
        <v>3970.6781101136698</v>
      </c>
      <c r="CL58" s="7">
        <v>4670.6917204775</v>
      </c>
      <c r="CM58" s="7">
        <v>3842</v>
      </c>
      <c r="CN58" s="7">
        <v>0</v>
      </c>
      <c r="CO58" s="7">
        <v>4116.8277319817198</v>
      </c>
      <c r="CP58" s="7">
        <v>4569</v>
      </c>
    </row>
    <row r="59" spans="4:94" x14ac:dyDescent="0.25">
      <c r="D59">
        <v>58</v>
      </c>
      <c r="E59" t="s">
        <v>89</v>
      </c>
      <c r="F59" s="3">
        <v>42057</v>
      </c>
      <c r="G59" t="s">
        <v>91</v>
      </c>
      <c r="H59" t="s">
        <v>48</v>
      </c>
      <c r="I59">
        <v>3662</v>
      </c>
      <c r="J59">
        <v>4807</v>
      </c>
      <c r="K59">
        <v>4737</v>
      </c>
      <c r="L59">
        <v>5133</v>
      </c>
      <c r="M59">
        <v>4043.5725977668799</v>
      </c>
      <c r="N59">
        <v>4146.6480231591404</v>
      </c>
      <c r="O59" t="s">
        <v>48</v>
      </c>
      <c r="P59" t="s">
        <v>48</v>
      </c>
      <c r="Q59" t="s">
        <v>48</v>
      </c>
      <c r="R59" t="s">
        <v>48</v>
      </c>
      <c r="S59">
        <v>4385</v>
      </c>
      <c r="T59">
        <v>4294</v>
      </c>
      <c r="U59">
        <v>3762</v>
      </c>
      <c r="V59">
        <v>4000</v>
      </c>
      <c r="W59">
        <v>4003</v>
      </c>
      <c r="X59">
        <v>3661</v>
      </c>
      <c r="Y59">
        <v>4027</v>
      </c>
      <c r="Z59">
        <v>3967</v>
      </c>
      <c r="AA59">
        <v>4014</v>
      </c>
      <c r="AB59">
        <v>3988</v>
      </c>
      <c r="AC59">
        <v>3825</v>
      </c>
      <c r="AD59">
        <v>3789</v>
      </c>
      <c r="AE59">
        <v>4330.1432190946498</v>
      </c>
      <c r="AF59">
        <v>4420</v>
      </c>
      <c r="AG59">
        <v>3967</v>
      </c>
      <c r="AH59">
        <v>4092</v>
      </c>
      <c r="AI59">
        <v>4003</v>
      </c>
      <c r="AJ59">
        <v>4005</v>
      </c>
      <c r="AK59">
        <v>3958</v>
      </c>
      <c r="AL59">
        <v>3965</v>
      </c>
      <c r="AM59">
        <v>4067.8383520388702</v>
      </c>
      <c r="AN59">
        <v>4136</v>
      </c>
      <c r="AO59">
        <v>4045</v>
      </c>
      <c r="AP59">
        <v>4037</v>
      </c>
      <c r="AQ59">
        <v>4178</v>
      </c>
      <c r="AR59">
        <v>3966</v>
      </c>
      <c r="AS59">
        <v>4094</v>
      </c>
      <c r="AT59">
        <v>4071</v>
      </c>
      <c r="AU59">
        <v>4147</v>
      </c>
      <c r="AV59">
        <v>4194</v>
      </c>
      <c r="AW59">
        <v>4165</v>
      </c>
      <c r="AX59">
        <v>3940</v>
      </c>
      <c r="AY59">
        <v>3888.5408434513802</v>
      </c>
      <c r="AZ59">
        <v>3900.0902644412199</v>
      </c>
      <c r="BA59">
        <v>3910.4727835436502</v>
      </c>
      <c r="BB59">
        <v>4963.3194497304603</v>
      </c>
      <c r="BC59">
        <v>4102.4438848542404</v>
      </c>
      <c r="BD59">
        <v>4341</v>
      </c>
      <c r="BE59">
        <v>3965</v>
      </c>
      <c r="BF59">
        <v>4205</v>
      </c>
      <c r="BG59">
        <v>4353</v>
      </c>
      <c r="BH59">
        <v>3704</v>
      </c>
      <c r="BI59">
        <v>3693</v>
      </c>
      <c r="BJ59">
        <v>4293.1681561653004</v>
      </c>
      <c r="BK59">
        <v>4287</v>
      </c>
      <c r="BL59">
        <v>4178</v>
      </c>
      <c r="BM59">
        <v>4062</v>
      </c>
      <c r="BN59">
        <v>4173</v>
      </c>
      <c r="BO59">
        <v>4052</v>
      </c>
      <c r="BP59">
        <v>3828</v>
      </c>
      <c r="BQ59">
        <v>3844</v>
      </c>
      <c r="BR59">
        <v>4055.5702188523901</v>
      </c>
      <c r="BS59">
        <v>4151</v>
      </c>
      <c r="BT59">
        <v>3960</v>
      </c>
      <c r="BU59">
        <v>4048</v>
      </c>
      <c r="BV59">
        <v>4026</v>
      </c>
      <c r="BW59">
        <v>4011</v>
      </c>
      <c r="BX59">
        <v>4055</v>
      </c>
      <c r="BY59">
        <v>4048</v>
      </c>
      <c r="BZ59">
        <v>4154</v>
      </c>
      <c r="CA59">
        <v>3645</v>
      </c>
      <c r="CB59">
        <v>4106</v>
      </c>
      <c r="CC59">
        <v>3402</v>
      </c>
      <c r="CD59">
        <v>3996</v>
      </c>
      <c r="CE59">
        <v>4017</v>
      </c>
      <c r="CF59">
        <v>4035</v>
      </c>
      <c r="CG59">
        <v>4109.9613941922098</v>
      </c>
      <c r="CH59">
        <v>4091.0477149539302</v>
      </c>
      <c r="CJ59" s="5" t="s">
        <v>87</v>
      </c>
      <c r="CK59" s="7">
        <v>3954.3491884901</v>
      </c>
      <c r="CL59" s="7">
        <v>4670.6917204775</v>
      </c>
      <c r="CM59" s="7">
        <v>3893</v>
      </c>
      <c r="CN59" s="7">
        <v>0</v>
      </c>
      <c r="CO59" s="7">
        <v>4134.32832500731</v>
      </c>
      <c r="CP59" s="7">
        <v>4620</v>
      </c>
    </row>
    <row r="60" spans="4:94" x14ac:dyDescent="0.25">
      <c r="D60">
        <v>59</v>
      </c>
      <c r="E60" t="s">
        <v>89</v>
      </c>
      <c r="F60" s="3">
        <v>42057</v>
      </c>
      <c r="G60" t="s">
        <v>92</v>
      </c>
      <c r="H60" t="s">
        <v>48</v>
      </c>
      <c r="I60">
        <v>3666</v>
      </c>
      <c r="J60">
        <v>4812</v>
      </c>
      <c r="K60">
        <v>4647</v>
      </c>
      <c r="L60">
        <v>5117</v>
      </c>
      <c r="M60">
        <v>4038.0354697396401</v>
      </c>
      <c r="N60">
        <v>4145.9766917789502</v>
      </c>
      <c r="O60" t="s">
        <v>48</v>
      </c>
      <c r="P60" t="s">
        <v>48</v>
      </c>
      <c r="Q60" t="s">
        <v>48</v>
      </c>
      <c r="R60" t="s">
        <v>48</v>
      </c>
      <c r="S60">
        <v>4379</v>
      </c>
      <c r="T60">
        <v>4288</v>
      </c>
      <c r="U60">
        <v>3762</v>
      </c>
      <c r="V60">
        <v>3987</v>
      </c>
      <c r="W60">
        <v>3990</v>
      </c>
      <c r="X60">
        <v>3630</v>
      </c>
      <c r="Y60">
        <v>4027</v>
      </c>
      <c r="Z60">
        <v>3967</v>
      </c>
      <c r="AA60">
        <v>4014</v>
      </c>
      <c r="AB60">
        <v>3988</v>
      </c>
      <c r="AC60">
        <v>3825</v>
      </c>
      <c r="AD60">
        <v>3789</v>
      </c>
      <c r="AE60">
        <v>4330.1432190946498</v>
      </c>
      <c r="AF60">
        <v>4420</v>
      </c>
      <c r="AG60">
        <v>3971</v>
      </c>
      <c r="AH60">
        <v>4091</v>
      </c>
      <c r="AI60">
        <v>4004</v>
      </c>
      <c r="AJ60">
        <v>4006</v>
      </c>
      <c r="AK60">
        <v>3958</v>
      </c>
      <c r="AL60">
        <v>3965</v>
      </c>
      <c r="AM60">
        <v>4097.6307274721503</v>
      </c>
      <c r="AN60">
        <v>4159</v>
      </c>
      <c r="AO60">
        <v>4045</v>
      </c>
      <c r="AP60">
        <v>4037</v>
      </c>
      <c r="AQ60">
        <v>4178</v>
      </c>
      <c r="AR60">
        <v>3966</v>
      </c>
      <c r="AS60">
        <v>4095</v>
      </c>
      <c r="AT60">
        <v>4085</v>
      </c>
      <c r="AU60">
        <v>4149</v>
      </c>
      <c r="AV60">
        <v>4197</v>
      </c>
      <c r="AW60">
        <v>4167</v>
      </c>
      <c r="AX60">
        <v>3944</v>
      </c>
      <c r="AY60">
        <v>3888.5408434513802</v>
      </c>
      <c r="AZ60">
        <v>3900.0902644412199</v>
      </c>
      <c r="BA60">
        <v>3910.4727835436502</v>
      </c>
      <c r="BB60">
        <v>4963.3194497304603</v>
      </c>
      <c r="BC60">
        <v>4102.4438848542404</v>
      </c>
      <c r="BD60">
        <v>4341</v>
      </c>
      <c r="BE60">
        <v>3965</v>
      </c>
      <c r="BF60">
        <v>4205</v>
      </c>
      <c r="BG60">
        <v>4353</v>
      </c>
      <c r="BH60">
        <v>3704</v>
      </c>
      <c r="BI60">
        <v>3693</v>
      </c>
      <c r="BJ60">
        <v>4293.1681561653004</v>
      </c>
      <c r="BK60">
        <v>4287</v>
      </c>
      <c r="BL60">
        <v>4179</v>
      </c>
      <c r="BM60">
        <v>4063</v>
      </c>
      <c r="BN60">
        <v>4173</v>
      </c>
      <c r="BO60">
        <v>4052</v>
      </c>
      <c r="BP60">
        <v>3829</v>
      </c>
      <c r="BQ60">
        <v>3844</v>
      </c>
      <c r="BR60">
        <v>4088.3649442951801</v>
      </c>
      <c r="BS60">
        <v>4178</v>
      </c>
      <c r="BT60">
        <v>3960</v>
      </c>
      <c r="BU60">
        <v>4048</v>
      </c>
      <c r="BV60">
        <v>4026</v>
      </c>
      <c r="BW60">
        <v>4011</v>
      </c>
      <c r="BX60">
        <v>4058</v>
      </c>
      <c r="BY60">
        <v>4065</v>
      </c>
      <c r="BZ60">
        <v>4155</v>
      </c>
      <c r="CA60">
        <v>3648</v>
      </c>
      <c r="CB60">
        <v>4108</v>
      </c>
      <c r="CC60">
        <v>3406</v>
      </c>
      <c r="CD60">
        <v>3996</v>
      </c>
      <c r="CE60">
        <v>4017</v>
      </c>
      <c r="CF60">
        <v>4035</v>
      </c>
      <c r="CG60">
        <v>4109.9613941922098</v>
      </c>
      <c r="CH60">
        <v>4091.0477149539302</v>
      </c>
      <c r="CJ60" s="5" t="s">
        <v>88</v>
      </c>
      <c r="CK60" s="7">
        <v>4046.8136911503798</v>
      </c>
      <c r="CL60" s="7">
        <v>4670.6917204775</v>
      </c>
      <c r="CM60" s="7">
        <v>3939</v>
      </c>
      <c r="CN60" s="7">
        <v>0</v>
      </c>
      <c r="CO60" s="7">
        <v>4139.5885000374301</v>
      </c>
      <c r="CP60" s="7">
        <v>4641</v>
      </c>
    </row>
    <row r="61" spans="4:94" x14ac:dyDescent="0.25">
      <c r="D61">
        <v>60</v>
      </c>
      <c r="E61" t="s">
        <v>89</v>
      </c>
      <c r="F61" s="3">
        <v>42057</v>
      </c>
      <c r="G61" t="s">
        <v>93</v>
      </c>
      <c r="H61" t="s">
        <v>48</v>
      </c>
      <c r="I61">
        <v>3664</v>
      </c>
      <c r="J61">
        <v>4769</v>
      </c>
      <c r="K61">
        <v>4709</v>
      </c>
      <c r="L61">
        <v>5117</v>
      </c>
      <c r="M61">
        <v>4037.8138873971402</v>
      </c>
      <c r="N61">
        <v>4153.3367698018501</v>
      </c>
      <c r="O61" t="s">
        <v>48</v>
      </c>
      <c r="P61" t="s">
        <v>48</v>
      </c>
      <c r="Q61" t="s">
        <v>48</v>
      </c>
      <c r="R61" t="s">
        <v>48</v>
      </c>
      <c r="S61">
        <v>4366</v>
      </c>
      <c r="T61">
        <v>4271</v>
      </c>
      <c r="U61">
        <v>3783</v>
      </c>
      <c r="V61">
        <v>3967</v>
      </c>
      <c r="W61">
        <v>3980</v>
      </c>
      <c r="X61">
        <v>3621</v>
      </c>
      <c r="Y61">
        <v>4027</v>
      </c>
      <c r="Z61">
        <v>3967</v>
      </c>
      <c r="AA61">
        <v>4014</v>
      </c>
      <c r="AB61">
        <v>3988</v>
      </c>
      <c r="AC61">
        <v>3825</v>
      </c>
      <c r="AD61">
        <v>3789</v>
      </c>
      <c r="AE61">
        <v>4330.1432190946498</v>
      </c>
      <c r="AF61">
        <v>4420</v>
      </c>
      <c r="AG61">
        <v>3972</v>
      </c>
      <c r="AH61">
        <v>4091</v>
      </c>
      <c r="AI61">
        <v>4004</v>
      </c>
      <c r="AJ61">
        <v>4006</v>
      </c>
      <c r="AK61">
        <v>3958</v>
      </c>
      <c r="AL61">
        <v>3966</v>
      </c>
      <c r="AM61">
        <v>4073.7315896240002</v>
      </c>
      <c r="AN61">
        <v>4139</v>
      </c>
      <c r="AO61">
        <v>4045</v>
      </c>
      <c r="AP61">
        <v>4037</v>
      </c>
      <c r="AQ61">
        <v>4178</v>
      </c>
      <c r="AR61">
        <v>3966</v>
      </c>
      <c r="AS61">
        <v>4101</v>
      </c>
      <c r="AT61">
        <v>4075</v>
      </c>
      <c r="AU61">
        <v>4140</v>
      </c>
      <c r="AV61">
        <v>4182</v>
      </c>
      <c r="AW61">
        <v>4159</v>
      </c>
      <c r="AX61">
        <v>3927</v>
      </c>
      <c r="AY61">
        <v>3909.5408434513802</v>
      </c>
      <c r="AZ61">
        <v>3921.0902644412199</v>
      </c>
      <c r="BA61">
        <v>3931.4727835436502</v>
      </c>
      <c r="BB61">
        <v>4963.3194497304603</v>
      </c>
      <c r="BC61">
        <v>4102.4438848542404</v>
      </c>
      <c r="BD61">
        <v>4341</v>
      </c>
      <c r="BE61">
        <v>3965</v>
      </c>
      <c r="BF61">
        <v>4205</v>
      </c>
      <c r="BG61">
        <v>4353</v>
      </c>
      <c r="BH61">
        <v>3704</v>
      </c>
      <c r="BI61">
        <v>3693</v>
      </c>
      <c r="BJ61">
        <v>4293.1681561653004</v>
      </c>
      <c r="BK61">
        <v>4287</v>
      </c>
      <c r="BL61">
        <v>4178</v>
      </c>
      <c r="BM61">
        <v>4063</v>
      </c>
      <c r="BN61">
        <v>4173</v>
      </c>
      <c r="BO61">
        <v>4051</v>
      </c>
      <c r="BP61">
        <v>3829</v>
      </c>
      <c r="BQ61">
        <v>3844</v>
      </c>
      <c r="BR61">
        <v>4058.5598954360298</v>
      </c>
      <c r="BS61">
        <v>4154</v>
      </c>
      <c r="BT61">
        <v>3960</v>
      </c>
      <c r="BU61">
        <v>4048</v>
      </c>
      <c r="BV61">
        <v>4026</v>
      </c>
      <c r="BW61">
        <v>4011</v>
      </c>
      <c r="BX61">
        <v>4062</v>
      </c>
      <c r="BY61">
        <v>4053</v>
      </c>
      <c r="BZ61">
        <v>4147</v>
      </c>
      <c r="CA61">
        <v>3636</v>
      </c>
      <c r="CB61">
        <v>4100</v>
      </c>
      <c r="CC61">
        <v>3392</v>
      </c>
      <c r="CD61">
        <v>4017</v>
      </c>
      <c r="CE61">
        <v>4038</v>
      </c>
      <c r="CF61">
        <v>4056</v>
      </c>
      <c r="CG61">
        <v>4109.9613941922098</v>
      </c>
      <c r="CH61">
        <v>4091.0477149539302</v>
      </c>
      <c r="CJ61" s="5" t="s">
        <v>90</v>
      </c>
      <c r="CK61" s="7">
        <v>3994.8941449541298</v>
      </c>
      <c r="CL61" s="7">
        <v>4963.3194497304603</v>
      </c>
      <c r="CM61" s="7">
        <v>3953</v>
      </c>
      <c r="CN61" s="7">
        <v>0</v>
      </c>
      <c r="CO61" s="7">
        <v>4103.0087893883601</v>
      </c>
      <c r="CP61" s="7">
        <v>4749</v>
      </c>
    </row>
    <row r="62" spans="4:94" x14ac:dyDescent="0.25">
      <c r="D62">
        <v>61</v>
      </c>
      <c r="E62" t="s">
        <v>89</v>
      </c>
      <c r="F62" s="3">
        <v>42057</v>
      </c>
      <c r="G62" t="s">
        <v>94</v>
      </c>
      <c r="H62" t="s">
        <v>48</v>
      </c>
      <c r="I62">
        <v>3682</v>
      </c>
      <c r="J62">
        <v>4922</v>
      </c>
      <c r="K62">
        <v>4667</v>
      </c>
      <c r="L62">
        <v>5171</v>
      </c>
      <c r="M62">
        <v>3985.4080998484101</v>
      </c>
      <c r="N62">
        <v>4178.6657572181002</v>
      </c>
      <c r="O62" t="s">
        <v>48</v>
      </c>
      <c r="P62" t="s">
        <v>48</v>
      </c>
      <c r="Q62" t="s">
        <v>48</v>
      </c>
      <c r="R62" t="s">
        <v>48</v>
      </c>
      <c r="S62">
        <v>4399</v>
      </c>
      <c r="T62">
        <v>4304</v>
      </c>
      <c r="U62">
        <v>3791</v>
      </c>
      <c r="V62">
        <v>4025</v>
      </c>
      <c r="W62">
        <v>4058</v>
      </c>
      <c r="X62">
        <v>3548</v>
      </c>
      <c r="Y62">
        <v>3959</v>
      </c>
      <c r="Z62">
        <v>3894</v>
      </c>
      <c r="AA62">
        <v>3926</v>
      </c>
      <c r="AB62">
        <v>3907</v>
      </c>
      <c r="AC62">
        <v>3796</v>
      </c>
      <c r="AD62">
        <v>3810</v>
      </c>
      <c r="AE62">
        <v>4167.7240850687904</v>
      </c>
      <c r="AF62">
        <v>4379</v>
      </c>
      <c r="AG62">
        <v>3923</v>
      </c>
      <c r="AH62">
        <v>3927</v>
      </c>
      <c r="AI62">
        <v>3958</v>
      </c>
      <c r="AJ62">
        <v>3871</v>
      </c>
      <c r="AK62">
        <v>3884</v>
      </c>
      <c r="AL62">
        <v>3911</v>
      </c>
      <c r="AM62">
        <v>4063.5509171108001</v>
      </c>
      <c r="AN62">
        <v>4105</v>
      </c>
      <c r="AO62">
        <v>3996</v>
      </c>
      <c r="AP62">
        <v>3946</v>
      </c>
      <c r="AQ62">
        <v>4062</v>
      </c>
      <c r="AR62">
        <v>4011</v>
      </c>
      <c r="AS62">
        <v>4107</v>
      </c>
      <c r="AT62">
        <v>4092</v>
      </c>
      <c r="AU62">
        <v>4173</v>
      </c>
      <c r="AV62">
        <v>4305</v>
      </c>
      <c r="AW62">
        <v>4149</v>
      </c>
      <c r="AX62">
        <v>3946</v>
      </c>
      <c r="AY62">
        <v>3935.4044827965299</v>
      </c>
      <c r="AZ62">
        <v>3933.56143177903</v>
      </c>
      <c r="BA62">
        <v>3940.9606603914899</v>
      </c>
      <c r="BB62">
        <v>4965.16400037113</v>
      </c>
      <c r="BC62">
        <v>3989.6033023688801</v>
      </c>
      <c r="BD62">
        <v>4184</v>
      </c>
      <c r="BE62">
        <v>3913</v>
      </c>
      <c r="BF62">
        <v>4089</v>
      </c>
      <c r="BG62">
        <v>4150</v>
      </c>
      <c r="BH62">
        <v>3698</v>
      </c>
      <c r="BI62">
        <v>3691</v>
      </c>
      <c r="BJ62">
        <v>4127.4676266297502</v>
      </c>
      <c r="BK62">
        <v>4230</v>
      </c>
      <c r="BL62">
        <v>4109</v>
      </c>
      <c r="BM62">
        <v>3936</v>
      </c>
      <c r="BN62">
        <v>4116</v>
      </c>
      <c r="BO62">
        <v>4046</v>
      </c>
      <c r="BP62">
        <v>3841</v>
      </c>
      <c r="BQ62">
        <v>3812</v>
      </c>
      <c r="BR62">
        <v>4125.9144466162797</v>
      </c>
      <c r="BS62">
        <v>4216</v>
      </c>
      <c r="BT62">
        <v>4014</v>
      </c>
      <c r="BU62">
        <v>4204</v>
      </c>
      <c r="BV62">
        <v>4062</v>
      </c>
      <c r="BW62">
        <v>4061</v>
      </c>
      <c r="BX62">
        <v>4103</v>
      </c>
      <c r="BY62">
        <v>4091</v>
      </c>
      <c r="BZ62">
        <v>4181</v>
      </c>
      <c r="CA62">
        <v>3678</v>
      </c>
      <c r="CB62">
        <v>4128</v>
      </c>
      <c r="CC62">
        <v>3437</v>
      </c>
      <c r="CD62">
        <v>4045</v>
      </c>
      <c r="CE62">
        <v>4043</v>
      </c>
      <c r="CF62">
        <v>4069</v>
      </c>
      <c r="CG62">
        <v>3928.9915356359302</v>
      </c>
      <c r="CH62">
        <v>4334.5926765683098</v>
      </c>
      <c r="CJ62" s="5" t="s">
        <v>91</v>
      </c>
      <c r="CK62" s="7">
        <v>4043.5725977668799</v>
      </c>
      <c r="CL62" s="7">
        <v>4963.3194497304603</v>
      </c>
      <c r="CM62" s="7">
        <v>4003</v>
      </c>
      <c r="CN62" s="7">
        <v>0</v>
      </c>
      <c r="CO62" s="7">
        <v>4146.6480231591404</v>
      </c>
      <c r="CP62" s="7">
        <v>4807</v>
      </c>
    </row>
    <row r="63" spans="4:94" x14ac:dyDescent="0.25">
      <c r="D63">
        <v>62</v>
      </c>
      <c r="E63" t="s">
        <v>89</v>
      </c>
      <c r="F63" s="3">
        <v>42057</v>
      </c>
      <c r="G63" t="s">
        <v>95</v>
      </c>
      <c r="H63" t="s">
        <v>48</v>
      </c>
      <c r="I63">
        <v>3742</v>
      </c>
      <c r="J63">
        <v>5001</v>
      </c>
      <c r="K63">
        <v>4834</v>
      </c>
      <c r="L63">
        <v>5305</v>
      </c>
      <c r="M63">
        <v>4078.04967289361</v>
      </c>
      <c r="N63">
        <v>4190.1786766823498</v>
      </c>
      <c r="O63" t="s">
        <v>48</v>
      </c>
      <c r="P63" t="s">
        <v>48</v>
      </c>
      <c r="Q63" t="s">
        <v>48</v>
      </c>
      <c r="R63" t="s">
        <v>48</v>
      </c>
      <c r="S63">
        <v>4483</v>
      </c>
      <c r="T63">
        <v>4388</v>
      </c>
      <c r="U63">
        <v>3848</v>
      </c>
      <c r="V63">
        <v>4092</v>
      </c>
      <c r="W63">
        <v>4148</v>
      </c>
      <c r="X63">
        <v>3590</v>
      </c>
      <c r="Y63">
        <v>3959</v>
      </c>
      <c r="Z63">
        <v>3894</v>
      </c>
      <c r="AA63">
        <v>3926</v>
      </c>
      <c r="AB63">
        <v>3907</v>
      </c>
      <c r="AC63">
        <v>3796</v>
      </c>
      <c r="AD63">
        <v>3810</v>
      </c>
      <c r="AE63">
        <v>4166.1950507789497</v>
      </c>
      <c r="AF63">
        <v>4365</v>
      </c>
      <c r="AG63">
        <v>3923</v>
      </c>
      <c r="AH63">
        <v>3927</v>
      </c>
      <c r="AI63">
        <v>3958</v>
      </c>
      <c r="AJ63">
        <v>3871</v>
      </c>
      <c r="AK63">
        <v>3885</v>
      </c>
      <c r="AL63">
        <v>3912</v>
      </c>
      <c r="AM63">
        <v>4058.96176106347</v>
      </c>
      <c r="AN63">
        <v>4098</v>
      </c>
      <c r="AO63">
        <v>3996</v>
      </c>
      <c r="AP63">
        <v>3912</v>
      </c>
      <c r="AQ63">
        <v>4111</v>
      </c>
      <c r="AR63">
        <v>4011</v>
      </c>
      <c r="AS63">
        <v>4118</v>
      </c>
      <c r="AT63">
        <v>4110</v>
      </c>
      <c r="AU63">
        <v>4196</v>
      </c>
      <c r="AV63">
        <v>4370</v>
      </c>
      <c r="AW63">
        <v>4176</v>
      </c>
      <c r="AX63">
        <v>4020</v>
      </c>
      <c r="AY63">
        <v>3992.4044827965299</v>
      </c>
      <c r="AZ63">
        <v>3990.56143177903</v>
      </c>
      <c r="BA63">
        <v>3997.9606603914899</v>
      </c>
      <c r="BB63">
        <v>4965.16400037113</v>
      </c>
      <c r="BC63">
        <v>3989.6033023688801</v>
      </c>
      <c r="BD63">
        <v>4184</v>
      </c>
      <c r="BE63">
        <v>3913</v>
      </c>
      <c r="BF63">
        <v>4089</v>
      </c>
      <c r="BG63">
        <v>4150</v>
      </c>
      <c r="BH63">
        <v>3698</v>
      </c>
      <c r="BI63">
        <v>3691</v>
      </c>
      <c r="BJ63">
        <v>4125.9533614330803</v>
      </c>
      <c r="BK63">
        <v>4216</v>
      </c>
      <c r="BL63">
        <v>4111</v>
      </c>
      <c r="BM63">
        <v>3936</v>
      </c>
      <c r="BN63">
        <v>4118</v>
      </c>
      <c r="BO63">
        <v>4047</v>
      </c>
      <c r="BP63">
        <v>3843</v>
      </c>
      <c r="BQ63">
        <v>3813</v>
      </c>
      <c r="BR63">
        <v>4118.7761204276003</v>
      </c>
      <c r="BS63">
        <v>4227</v>
      </c>
      <c r="BT63">
        <v>4014</v>
      </c>
      <c r="BU63">
        <v>4168</v>
      </c>
      <c r="BV63">
        <v>4111</v>
      </c>
      <c r="BW63">
        <v>4061</v>
      </c>
      <c r="BX63">
        <v>4121</v>
      </c>
      <c r="BY63">
        <v>4109</v>
      </c>
      <c r="BZ63">
        <v>4204</v>
      </c>
      <c r="CA63">
        <v>3734</v>
      </c>
      <c r="CB63">
        <v>4155</v>
      </c>
      <c r="CC63">
        <v>3501</v>
      </c>
      <c r="CD63">
        <v>4102</v>
      </c>
      <c r="CE63">
        <v>4100</v>
      </c>
      <c r="CF63">
        <v>4126</v>
      </c>
      <c r="CG63">
        <v>3928.9915356359302</v>
      </c>
      <c r="CH63">
        <v>4334.5926765683098</v>
      </c>
      <c r="CJ63" s="5" t="s">
        <v>92</v>
      </c>
      <c r="CK63" s="7">
        <v>4038.0354697396401</v>
      </c>
      <c r="CL63" s="7">
        <v>4963.3194497304603</v>
      </c>
      <c r="CM63" s="7">
        <v>3990</v>
      </c>
      <c r="CN63" s="7">
        <v>0</v>
      </c>
      <c r="CO63" s="7">
        <v>4145.9766917789502</v>
      </c>
      <c r="CP63" s="7">
        <v>4812</v>
      </c>
    </row>
    <row r="64" spans="4:94" x14ac:dyDescent="0.25">
      <c r="D64">
        <v>63</v>
      </c>
      <c r="E64" t="s">
        <v>89</v>
      </c>
      <c r="F64" s="3">
        <v>42057</v>
      </c>
      <c r="G64" t="s">
        <v>96</v>
      </c>
      <c r="H64" t="s">
        <v>48</v>
      </c>
      <c r="I64">
        <v>3786</v>
      </c>
      <c r="J64">
        <v>4963</v>
      </c>
      <c r="K64">
        <v>4925</v>
      </c>
      <c r="L64">
        <v>5113.8491966686397</v>
      </c>
      <c r="M64">
        <v>4139.2860412985701</v>
      </c>
      <c r="N64">
        <v>4167.6512599435</v>
      </c>
      <c r="O64" t="s">
        <v>48</v>
      </c>
      <c r="P64" t="s">
        <v>48</v>
      </c>
      <c r="Q64" t="s">
        <v>48</v>
      </c>
      <c r="R64" t="s">
        <v>48</v>
      </c>
      <c r="S64">
        <v>4488</v>
      </c>
      <c r="T64">
        <v>4389</v>
      </c>
      <c r="U64">
        <v>3869</v>
      </c>
      <c r="V64">
        <v>4146</v>
      </c>
      <c r="W64">
        <v>4146</v>
      </c>
      <c r="X64">
        <v>3676</v>
      </c>
      <c r="Y64">
        <v>3959</v>
      </c>
      <c r="Z64">
        <v>3894</v>
      </c>
      <c r="AA64">
        <v>3926</v>
      </c>
      <c r="AB64">
        <v>3907</v>
      </c>
      <c r="AC64">
        <v>3796</v>
      </c>
      <c r="AD64">
        <v>3810</v>
      </c>
      <c r="AE64">
        <v>4152.3984964192196</v>
      </c>
      <c r="AF64">
        <v>4348</v>
      </c>
      <c r="AG64">
        <v>3922</v>
      </c>
      <c r="AH64">
        <v>3926</v>
      </c>
      <c r="AI64">
        <v>3958</v>
      </c>
      <c r="AJ64">
        <v>3868</v>
      </c>
      <c r="AK64">
        <v>3883</v>
      </c>
      <c r="AL64">
        <v>3909</v>
      </c>
      <c r="AM64">
        <v>4062.4386513859299</v>
      </c>
      <c r="AN64">
        <v>4096</v>
      </c>
      <c r="AO64">
        <v>3996</v>
      </c>
      <c r="AP64">
        <v>3912</v>
      </c>
      <c r="AQ64">
        <v>4052</v>
      </c>
      <c r="AR64">
        <v>4011</v>
      </c>
      <c r="AS64">
        <v>4123</v>
      </c>
      <c r="AT64">
        <v>4107</v>
      </c>
      <c r="AU64">
        <v>4199</v>
      </c>
      <c r="AV64">
        <v>4384</v>
      </c>
      <c r="AW64">
        <v>4182</v>
      </c>
      <c r="AX64">
        <v>4036</v>
      </c>
      <c r="AY64">
        <v>4013.4044827965299</v>
      </c>
      <c r="AZ64">
        <v>4011.56143177903</v>
      </c>
      <c r="BA64">
        <v>4018.9606603914899</v>
      </c>
      <c r="BB64">
        <v>4965.16400037113</v>
      </c>
      <c r="BC64">
        <v>3989.6033023688801</v>
      </c>
      <c r="BD64">
        <v>4184</v>
      </c>
      <c r="BE64">
        <v>3913</v>
      </c>
      <c r="BF64">
        <v>4089</v>
      </c>
      <c r="BG64">
        <v>4150</v>
      </c>
      <c r="BH64">
        <v>3698</v>
      </c>
      <c r="BI64">
        <v>3691</v>
      </c>
      <c r="BJ64">
        <v>4119.5036572256704</v>
      </c>
      <c r="BK64">
        <v>4200</v>
      </c>
      <c r="BL64">
        <v>4113</v>
      </c>
      <c r="BM64">
        <v>3934</v>
      </c>
      <c r="BN64">
        <v>4118</v>
      </c>
      <c r="BO64">
        <v>4047</v>
      </c>
      <c r="BP64">
        <v>3841</v>
      </c>
      <c r="BQ64">
        <v>3811</v>
      </c>
      <c r="BR64">
        <v>4119.2451887390498</v>
      </c>
      <c r="BS64">
        <v>4227</v>
      </c>
      <c r="BT64">
        <v>4014</v>
      </c>
      <c r="BU64">
        <v>4168</v>
      </c>
      <c r="BV64">
        <v>4052</v>
      </c>
      <c r="BW64">
        <v>4061</v>
      </c>
      <c r="BX64">
        <v>4125</v>
      </c>
      <c r="BY64">
        <v>4106</v>
      </c>
      <c r="BZ64">
        <v>4207</v>
      </c>
      <c r="CA64">
        <v>3746</v>
      </c>
      <c r="CB64">
        <v>4161</v>
      </c>
      <c r="CC64">
        <v>3515</v>
      </c>
      <c r="CD64">
        <v>4123</v>
      </c>
      <c r="CE64">
        <v>4121</v>
      </c>
      <c r="CF64">
        <v>4147</v>
      </c>
      <c r="CG64">
        <v>3928.9915356359302</v>
      </c>
      <c r="CH64">
        <v>4334.5926765683098</v>
      </c>
      <c r="CJ64" s="5" t="s">
        <v>93</v>
      </c>
      <c r="CK64" s="7">
        <v>4037.8138873971402</v>
      </c>
      <c r="CL64" s="7">
        <v>4963.3194497304603</v>
      </c>
      <c r="CM64" s="7">
        <v>3980</v>
      </c>
      <c r="CN64" s="7">
        <v>0</v>
      </c>
      <c r="CO64" s="7">
        <v>4153.3367698018501</v>
      </c>
      <c r="CP64" s="7">
        <v>4769</v>
      </c>
    </row>
    <row r="65" spans="4:94" x14ac:dyDescent="0.25">
      <c r="D65">
        <v>64</v>
      </c>
      <c r="E65" t="s">
        <v>89</v>
      </c>
      <c r="F65" s="3">
        <v>42057</v>
      </c>
      <c r="G65" t="s">
        <v>97</v>
      </c>
      <c r="H65" t="s">
        <v>48</v>
      </c>
      <c r="I65">
        <v>3682</v>
      </c>
      <c r="J65">
        <v>4929</v>
      </c>
      <c r="K65">
        <v>4959</v>
      </c>
      <c r="L65">
        <v>5152</v>
      </c>
      <c r="M65">
        <v>4104.6184527238502</v>
      </c>
      <c r="N65">
        <v>4159.4899911474304</v>
      </c>
      <c r="O65" t="s">
        <v>48</v>
      </c>
      <c r="P65" t="s">
        <v>48</v>
      </c>
      <c r="Q65" t="s">
        <v>48</v>
      </c>
      <c r="R65" t="s">
        <v>48</v>
      </c>
      <c r="S65">
        <v>4480</v>
      </c>
      <c r="T65">
        <v>4388</v>
      </c>
      <c r="U65">
        <v>3772</v>
      </c>
      <c r="V65">
        <v>4051</v>
      </c>
      <c r="W65">
        <v>4085</v>
      </c>
      <c r="X65">
        <v>3744</v>
      </c>
      <c r="Y65">
        <v>3959</v>
      </c>
      <c r="Z65">
        <v>3894</v>
      </c>
      <c r="AA65">
        <v>3926</v>
      </c>
      <c r="AB65">
        <v>3907</v>
      </c>
      <c r="AC65">
        <v>3796</v>
      </c>
      <c r="AD65">
        <v>3810</v>
      </c>
      <c r="AE65">
        <v>4167.7240850687904</v>
      </c>
      <c r="AF65">
        <v>4379</v>
      </c>
      <c r="AG65">
        <v>3924</v>
      </c>
      <c r="AH65">
        <v>3927</v>
      </c>
      <c r="AI65">
        <v>3961</v>
      </c>
      <c r="AJ65">
        <v>3868</v>
      </c>
      <c r="AK65">
        <v>3884</v>
      </c>
      <c r="AL65">
        <v>3908</v>
      </c>
      <c r="AM65">
        <v>4065.0668053209001</v>
      </c>
      <c r="AN65">
        <v>4105</v>
      </c>
      <c r="AO65">
        <v>3996</v>
      </c>
      <c r="AP65">
        <v>3946</v>
      </c>
      <c r="AQ65">
        <v>4085</v>
      </c>
      <c r="AR65">
        <v>4011</v>
      </c>
      <c r="AS65">
        <v>4109</v>
      </c>
      <c r="AT65">
        <v>4093</v>
      </c>
      <c r="AU65">
        <v>4174</v>
      </c>
      <c r="AV65">
        <v>4306</v>
      </c>
      <c r="AW65">
        <v>4150</v>
      </c>
      <c r="AX65">
        <v>3948</v>
      </c>
      <c r="AY65">
        <v>3916.4044827965299</v>
      </c>
      <c r="AZ65">
        <v>3914.56143177903</v>
      </c>
      <c r="BA65">
        <v>3921.9606603914899</v>
      </c>
      <c r="BB65">
        <v>4965.16400037113</v>
      </c>
      <c r="BC65">
        <v>3989.6033023688801</v>
      </c>
      <c r="BD65">
        <v>4184</v>
      </c>
      <c r="BE65">
        <v>3913</v>
      </c>
      <c r="BF65">
        <v>4089</v>
      </c>
      <c r="BG65">
        <v>4150</v>
      </c>
      <c r="BH65">
        <v>3698</v>
      </c>
      <c r="BI65">
        <v>3691</v>
      </c>
      <c r="BJ65">
        <v>4127.4676266297502</v>
      </c>
      <c r="BK65">
        <v>4230</v>
      </c>
      <c r="BL65">
        <v>4114</v>
      </c>
      <c r="BM65">
        <v>3934</v>
      </c>
      <c r="BN65">
        <v>4119</v>
      </c>
      <c r="BO65">
        <v>4047</v>
      </c>
      <c r="BP65">
        <v>3841</v>
      </c>
      <c r="BQ65">
        <v>3811</v>
      </c>
      <c r="BR65">
        <v>4125.1335834413303</v>
      </c>
      <c r="BS65">
        <v>4221</v>
      </c>
      <c r="BT65">
        <v>4014</v>
      </c>
      <c r="BU65">
        <v>4204</v>
      </c>
      <c r="BV65">
        <v>4085</v>
      </c>
      <c r="BW65">
        <v>4061</v>
      </c>
      <c r="BX65">
        <v>4106</v>
      </c>
      <c r="BY65">
        <v>4092</v>
      </c>
      <c r="BZ65">
        <v>4182</v>
      </c>
      <c r="CA65">
        <v>3679</v>
      </c>
      <c r="CB65">
        <v>4129</v>
      </c>
      <c r="CC65">
        <v>3438</v>
      </c>
      <c r="CD65">
        <v>4026</v>
      </c>
      <c r="CE65">
        <v>4024</v>
      </c>
      <c r="CF65">
        <v>4050</v>
      </c>
      <c r="CG65">
        <v>3928.9915356359302</v>
      </c>
      <c r="CH65">
        <v>4334.5926765683098</v>
      </c>
      <c r="CJ65" s="5" t="s">
        <v>94</v>
      </c>
      <c r="CK65" s="7">
        <v>3985.4080998484101</v>
      </c>
      <c r="CL65" s="7">
        <v>4965.16400037113</v>
      </c>
      <c r="CM65" s="7">
        <v>4058</v>
      </c>
      <c r="CN65" s="7">
        <v>0</v>
      </c>
      <c r="CO65" s="7">
        <v>4178.6657572181002</v>
      </c>
      <c r="CP65" s="7">
        <v>4922</v>
      </c>
    </row>
    <row r="66" spans="4:94" x14ac:dyDescent="0.25">
      <c r="D66">
        <v>65</v>
      </c>
      <c r="E66" t="s">
        <v>89</v>
      </c>
      <c r="F66" s="3">
        <v>42057</v>
      </c>
      <c r="G66" t="s">
        <v>98</v>
      </c>
      <c r="H66" t="s">
        <v>48</v>
      </c>
      <c r="I66">
        <v>3686</v>
      </c>
      <c r="J66">
        <v>4629</v>
      </c>
      <c r="K66">
        <v>4993</v>
      </c>
      <c r="L66">
        <v>5259</v>
      </c>
      <c r="M66">
        <v>4060.1026369557499</v>
      </c>
      <c r="N66">
        <v>4223.2059024257196</v>
      </c>
      <c r="O66" t="s">
        <v>48</v>
      </c>
      <c r="P66" t="s">
        <v>48</v>
      </c>
      <c r="Q66" t="s">
        <v>48</v>
      </c>
      <c r="R66" t="s">
        <v>48</v>
      </c>
      <c r="S66">
        <v>4466</v>
      </c>
      <c r="T66">
        <v>4386</v>
      </c>
      <c r="U66">
        <v>3697</v>
      </c>
      <c r="V66">
        <v>4177</v>
      </c>
      <c r="W66">
        <v>4145</v>
      </c>
      <c r="X66">
        <v>3818</v>
      </c>
      <c r="Y66">
        <v>4052</v>
      </c>
      <c r="Z66">
        <v>3920</v>
      </c>
      <c r="AA66">
        <v>4003</v>
      </c>
      <c r="AB66">
        <v>3911</v>
      </c>
      <c r="AC66">
        <v>3805</v>
      </c>
      <c r="AD66">
        <v>3825</v>
      </c>
      <c r="AE66">
        <v>4170.3650498175903</v>
      </c>
      <c r="AF66">
        <v>4354</v>
      </c>
      <c r="AG66">
        <v>3976</v>
      </c>
      <c r="AH66">
        <v>3852</v>
      </c>
      <c r="AI66">
        <v>3990</v>
      </c>
      <c r="AJ66">
        <v>3863</v>
      </c>
      <c r="AK66">
        <v>3871</v>
      </c>
      <c r="AL66">
        <v>3863</v>
      </c>
      <c r="AM66">
        <v>4069.5438718958299</v>
      </c>
      <c r="AN66">
        <v>4090</v>
      </c>
      <c r="AO66">
        <v>4030</v>
      </c>
      <c r="AP66">
        <v>3992</v>
      </c>
      <c r="AQ66">
        <v>4066</v>
      </c>
      <c r="AR66">
        <v>4015</v>
      </c>
      <c r="AS66">
        <v>4118</v>
      </c>
      <c r="AT66">
        <v>4097</v>
      </c>
      <c r="AU66">
        <v>4140</v>
      </c>
      <c r="AV66">
        <v>4122</v>
      </c>
      <c r="AW66">
        <v>4058</v>
      </c>
      <c r="AX66">
        <v>3725</v>
      </c>
      <c r="AY66">
        <v>3839.4461622316699</v>
      </c>
      <c r="AZ66">
        <v>3823.5152827707998</v>
      </c>
      <c r="BA66">
        <v>3819.2353200431498</v>
      </c>
      <c r="BB66">
        <v>4949.7775142623896</v>
      </c>
      <c r="BC66">
        <v>4056.96540849232</v>
      </c>
      <c r="BD66">
        <v>4169</v>
      </c>
      <c r="BE66">
        <v>3883</v>
      </c>
      <c r="BF66">
        <v>4110</v>
      </c>
      <c r="BG66">
        <v>4197</v>
      </c>
      <c r="BH66">
        <v>3683</v>
      </c>
      <c r="BI66">
        <v>3690</v>
      </c>
      <c r="BJ66">
        <v>4235.8253425950898</v>
      </c>
      <c r="BK66">
        <v>4413</v>
      </c>
      <c r="BL66">
        <v>4255</v>
      </c>
      <c r="BM66">
        <v>3866</v>
      </c>
      <c r="BN66">
        <v>4218</v>
      </c>
      <c r="BO66">
        <v>4052</v>
      </c>
      <c r="BP66">
        <v>3844</v>
      </c>
      <c r="BQ66">
        <v>3870</v>
      </c>
      <c r="BR66">
        <v>4146.2183653106704</v>
      </c>
      <c r="BS66">
        <v>4236</v>
      </c>
      <c r="BT66">
        <v>4007</v>
      </c>
      <c r="BU66">
        <v>4214</v>
      </c>
      <c r="BV66">
        <v>4065</v>
      </c>
      <c r="BW66">
        <v>4034</v>
      </c>
      <c r="BX66">
        <v>4126</v>
      </c>
      <c r="BY66">
        <v>4075</v>
      </c>
      <c r="BZ66">
        <v>4107</v>
      </c>
      <c r="CA66">
        <v>3570</v>
      </c>
      <c r="CB66">
        <v>4124</v>
      </c>
      <c r="CC66">
        <v>3445</v>
      </c>
      <c r="CD66">
        <v>3965</v>
      </c>
      <c r="CE66">
        <v>3958</v>
      </c>
      <c r="CF66">
        <v>3973</v>
      </c>
      <c r="CG66">
        <v>4272.2756753263702</v>
      </c>
      <c r="CH66">
        <v>4328.1597440896803</v>
      </c>
      <c r="CJ66" s="5" t="s">
        <v>95</v>
      </c>
      <c r="CK66" s="7">
        <v>4078.04967289361</v>
      </c>
      <c r="CL66" s="7">
        <v>4965.16400037113</v>
      </c>
      <c r="CM66" s="7">
        <v>4148</v>
      </c>
      <c r="CN66" s="7">
        <v>0</v>
      </c>
      <c r="CO66" s="7">
        <v>4190.1786766823498</v>
      </c>
      <c r="CP66" s="7">
        <v>5001</v>
      </c>
    </row>
    <row r="67" spans="4:94" x14ac:dyDescent="0.25">
      <c r="D67">
        <v>66</v>
      </c>
      <c r="E67" t="s">
        <v>89</v>
      </c>
      <c r="F67" s="3">
        <v>42057</v>
      </c>
      <c r="G67" t="s">
        <v>99</v>
      </c>
      <c r="H67" t="s">
        <v>48</v>
      </c>
      <c r="I67">
        <v>3851</v>
      </c>
      <c r="J67">
        <v>4533</v>
      </c>
      <c r="K67">
        <v>4878</v>
      </c>
      <c r="L67">
        <v>5187</v>
      </c>
      <c r="M67">
        <v>4070.7287227655702</v>
      </c>
      <c r="N67">
        <v>4175.2223226603901</v>
      </c>
      <c r="O67" t="s">
        <v>48</v>
      </c>
      <c r="P67" t="s">
        <v>48</v>
      </c>
      <c r="Q67" t="s">
        <v>48</v>
      </c>
      <c r="R67" t="s">
        <v>48</v>
      </c>
      <c r="S67">
        <v>4473</v>
      </c>
      <c r="T67">
        <v>4385</v>
      </c>
      <c r="U67">
        <v>3760</v>
      </c>
      <c r="V67">
        <v>4177</v>
      </c>
      <c r="W67">
        <v>4219</v>
      </c>
      <c r="X67">
        <v>3782</v>
      </c>
      <c r="Y67">
        <v>4052</v>
      </c>
      <c r="Z67">
        <v>3920</v>
      </c>
      <c r="AA67">
        <v>4003</v>
      </c>
      <c r="AB67">
        <v>3911</v>
      </c>
      <c r="AC67">
        <v>3805</v>
      </c>
      <c r="AD67">
        <v>3825</v>
      </c>
      <c r="AE67">
        <v>4155.0297497911197</v>
      </c>
      <c r="AF67">
        <v>4306</v>
      </c>
      <c r="AG67">
        <v>3979</v>
      </c>
      <c r="AH67">
        <v>3852</v>
      </c>
      <c r="AI67">
        <v>3990</v>
      </c>
      <c r="AJ67">
        <v>3866</v>
      </c>
      <c r="AK67">
        <v>3872</v>
      </c>
      <c r="AL67">
        <v>3865</v>
      </c>
      <c r="AM67">
        <v>4063.64025917651</v>
      </c>
      <c r="AN67">
        <v>4082</v>
      </c>
      <c r="AO67">
        <v>4030</v>
      </c>
      <c r="AP67">
        <v>3980</v>
      </c>
      <c r="AQ67">
        <v>4051</v>
      </c>
      <c r="AR67">
        <v>4015</v>
      </c>
      <c r="AS67">
        <v>4134</v>
      </c>
      <c r="AT67">
        <v>4110</v>
      </c>
      <c r="AU67">
        <v>4148</v>
      </c>
      <c r="AV67">
        <v>4200</v>
      </c>
      <c r="AW67">
        <v>4081</v>
      </c>
      <c r="AX67">
        <v>3815</v>
      </c>
      <c r="AY67">
        <v>3902.4461622316699</v>
      </c>
      <c r="AZ67">
        <v>3886.5152827707998</v>
      </c>
      <c r="BA67">
        <v>3882.2353200431498</v>
      </c>
      <c r="BB67">
        <v>4949.7775142623896</v>
      </c>
      <c r="BC67">
        <v>4056.96540849232</v>
      </c>
      <c r="BD67">
        <v>4169</v>
      </c>
      <c r="BE67">
        <v>3883</v>
      </c>
      <c r="BF67">
        <v>4110</v>
      </c>
      <c r="BG67">
        <v>4197</v>
      </c>
      <c r="BH67">
        <v>3683</v>
      </c>
      <c r="BI67">
        <v>3690</v>
      </c>
      <c r="BJ67">
        <v>4227.6522964367496</v>
      </c>
      <c r="BK67">
        <v>4365</v>
      </c>
      <c r="BL67">
        <v>4255</v>
      </c>
      <c r="BM67">
        <v>3866</v>
      </c>
      <c r="BN67">
        <v>4218</v>
      </c>
      <c r="BO67">
        <v>4054</v>
      </c>
      <c r="BP67">
        <v>3845</v>
      </c>
      <c r="BQ67">
        <v>3870</v>
      </c>
      <c r="BR67">
        <v>4137.5012264709003</v>
      </c>
      <c r="BS67">
        <v>4243</v>
      </c>
      <c r="BT67">
        <v>4007</v>
      </c>
      <c r="BU67">
        <v>4201</v>
      </c>
      <c r="BV67">
        <v>4050</v>
      </c>
      <c r="BW67">
        <v>4034</v>
      </c>
      <c r="BX67">
        <v>4143</v>
      </c>
      <c r="BY67">
        <v>4087</v>
      </c>
      <c r="BZ67">
        <v>4116</v>
      </c>
      <c r="CA67">
        <v>3637</v>
      </c>
      <c r="CB67">
        <v>4148</v>
      </c>
      <c r="CC67">
        <v>3528</v>
      </c>
      <c r="CD67">
        <v>4028</v>
      </c>
      <c r="CE67">
        <v>4021</v>
      </c>
      <c r="CF67">
        <v>4036</v>
      </c>
      <c r="CG67">
        <v>4272.2756753263702</v>
      </c>
      <c r="CH67">
        <v>4328.1597440896803</v>
      </c>
      <c r="CJ67" s="5" t="s">
        <v>96</v>
      </c>
      <c r="CK67" s="7">
        <v>4139.2860412985701</v>
      </c>
      <c r="CL67" s="7">
        <v>4965.16400037113</v>
      </c>
      <c r="CM67" s="7">
        <v>4146</v>
      </c>
      <c r="CN67" s="7">
        <v>0</v>
      </c>
      <c r="CO67" s="7">
        <v>4167.6512599435</v>
      </c>
      <c r="CP67" s="7">
        <v>4963</v>
      </c>
    </row>
    <row r="68" spans="4:94" x14ac:dyDescent="0.25">
      <c r="D68">
        <v>67</v>
      </c>
      <c r="E68" t="s">
        <v>89</v>
      </c>
      <c r="F68" s="3">
        <v>42057</v>
      </c>
      <c r="G68" t="s">
        <v>100</v>
      </c>
      <c r="H68" t="s">
        <v>48</v>
      </c>
      <c r="I68">
        <v>3882</v>
      </c>
      <c r="J68">
        <v>4591</v>
      </c>
      <c r="K68">
        <v>4808</v>
      </c>
      <c r="L68">
        <v>5234</v>
      </c>
      <c r="M68">
        <v>4080.9868814793199</v>
      </c>
      <c r="N68">
        <v>4176.93717867958</v>
      </c>
      <c r="O68" t="s">
        <v>48</v>
      </c>
      <c r="P68" t="s">
        <v>48</v>
      </c>
      <c r="Q68" t="s">
        <v>48</v>
      </c>
      <c r="R68" t="s">
        <v>48</v>
      </c>
      <c r="S68">
        <v>4479</v>
      </c>
      <c r="T68">
        <v>4388</v>
      </c>
      <c r="U68">
        <v>3797</v>
      </c>
      <c r="V68">
        <v>4171</v>
      </c>
      <c r="W68">
        <v>4207</v>
      </c>
      <c r="X68">
        <v>3839</v>
      </c>
      <c r="Y68">
        <v>4052</v>
      </c>
      <c r="Z68">
        <v>3920</v>
      </c>
      <c r="AA68">
        <v>4003</v>
      </c>
      <c r="AB68">
        <v>3911</v>
      </c>
      <c r="AC68">
        <v>3805</v>
      </c>
      <c r="AD68">
        <v>3825</v>
      </c>
      <c r="AE68">
        <v>4155.0297497911197</v>
      </c>
      <c r="AF68">
        <v>4306</v>
      </c>
      <c r="AG68">
        <v>3979</v>
      </c>
      <c r="AH68">
        <v>3852</v>
      </c>
      <c r="AI68">
        <v>3989</v>
      </c>
      <c r="AJ68">
        <v>3867</v>
      </c>
      <c r="AK68">
        <v>3873</v>
      </c>
      <c r="AL68">
        <v>3866</v>
      </c>
      <c r="AM68">
        <v>4064.0885934007501</v>
      </c>
      <c r="AN68">
        <v>4083</v>
      </c>
      <c r="AO68">
        <v>4030</v>
      </c>
      <c r="AP68">
        <v>3980</v>
      </c>
      <c r="AQ68">
        <v>4032</v>
      </c>
      <c r="AR68">
        <v>4015</v>
      </c>
      <c r="AS68">
        <v>4135</v>
      </c>
      <c r="AT68">
        <v>4119</v>
      </c>
      <c r="AU68">
        <v>4170</v>
      </c>
      <c r="AV68">
        <v>4234</v>
      </c>
      <c r="AW68">
        <v>4103</v>
      </c>
      <c r="AX68">
        <v>3850</v>
      </c>
      <c r="AY68">
        <v>3939.4461622316699</v>
      </c>
      <c r="AZ68">
        <v>3923.5152827707998</v>
      </c>
      <c r="BA68">
        <v>3919.2353200431498</v>
      </c>
      <c r="BB68">
        <v>4949.7775142623896</v>
      </c>
      <c r="BC68">
        <v>4056.96540849232</v>
      </c>
      <c r="BD68">
        <v>4169</v>
      </c>
      <c r="BE68">
        <v>3883</v>
      </c>
      <c r="BF68">
        <v>4110</v>
      </c>
      <c r="BG68">
        <v>4197</v>
      </c>
      <c r="BH68">
        <v>3683</v>
      </c>
      <c r="BI68">
        <v>3690</v>
      </c>
      <c r="BJ68">
        <v>4227.6522964367496</v>
      </c>
      <c r="BK68">
        <v>4365</v>
      </c>
      <c r="BL68">
        <v>4252</v>
      </c>
      <c r="BM68">
        <v>3866</v>
      </c>
      <c r="BN68">
        <v>4216</v>
      </c>
      <c r="BO68">
        <v>4053</v>
      </c>
      <c r="BP68">
        <v>3845</v>
      </c>
      <c r="BQ68">
        <v>3870</v>
      </c>
      <c r="BR68">
        <v>4137.72077289153</v>
      </c>
      <c r="BS68">
        <v>4244</v>
      </c>
      <c r="BT68">
        <v>4007</v>
      </c>
      <c r="BU68">
        <v>4201</v>
      </c>
      <c r="BV68">
        <v>4031</v>
      </c>
      <c r="BW68">
        <v>4034</v>
      </c>
      <c r="BX68">
        <v>4144</v>
      </c>
      <c r="BY68">
        <v>4097</v>
      </c>
      <c r="BZ68">
        <v>4137</v>
      </c>
      <c r="CA68">
        <v>3666</v>
      </c>
      <c r="CB68">
        <v>4170</v>
      </c>
      <c r="CC68">
        <v>3561</v>
      </c>
      <c r="CD68">
        <v>4065</v>
      </c>
      <c r="CE68">
        <v>4058</v>
      </c>
      <c r="CF68">
        <v>4073</v>
      </c>
      <c r="CG68">
        <v>4272.2756753263702</v>
      </c>
      <c r="CH68">
        <v>4328.1597440896803</v>
      </c>
      <c r="CJ68" s="5" t="s">
        <v>97</v>
      </c>
      <c r="CK68" s="7">
        <v>4104.6184527238502</v>
      </c>
      <c r="CL68" s="7">
        <v>4965.16400037113</v>
      </c>
      <c r="CM68" s="7">
        <v>4085</v>
      </c>
      <c r="CN68" s="7">
        <v>0</v>
      </c>
      <c r="CO68" s="7">
        <v>4159.4899911474304</v>
      </c>
      <c r="CP68" s="7">
        <v>4929</v>
      </c>
    </row>
    <row r="69" spans="4:94" x14ac:dyDescent="0.25">
      <c r="D69">
        <v>68</v>
      </c>
      <c r="E69" t="s">
        <v>89</v>
      </c>
      <c r="F69" s="3">
        <v>42057</v>
      </c>
      <c r="G69" t="s">
        <v>101</v>
      </c>
      <c r="H69" t="s">
        <v>48</v>
      </c>
      <c r="I69">
        <v>3877</v>
      </c>
      <c r="J69">
        <v>4696</v>
      </c>
      <c r="K69">
        <v>4853</v>
      </c>
      <c r="L69">
        <v>5240</v>
      </c>
      <c r="M69">
        <v>4092.6249461699799</v>
      </c>
      <c r="N69">
        <v>4166.2564101652497</v>
      </c>
      <c r="O69" t="s">
        <v>48</v>
      </c>
      <c r="P69" t="s">
        <v>48</v>
      </c>
      <c r="Q69" t="s">
        <v>48</v>
      </c>
      <c r="R69" t="s">
        <v>48</v>
      </c>
      <c r="S69">
        <v>4490</v>
      </c>
      <c r="T69">
        <v>4395</v>
      </c>
      <c r="U69">
        <v>3839</v>
      </c>
      <c r="V69">
        <v>4207</v>
      </c>
      <c r="W69">
        <v>4220</v>
      </c>
      <c r="X69">
        <v>3903</v>
      </c>
      <c r="Y69">
        <v>4052</v>
      </c>
      <c r="Z69">
        <v>3920</v>
      </c>
      <c r="AA69">
        <v>4003</v>
      </c>
      <c r="AB69">
        <v>3911</v>
      </c>
      <c r="AC69">
        <v>3805</v>
      </c>
      <c r="AD69">
        <v>3825</v>
      </c>
      <c r="AE69">
        <v>4155.0297497911197</v>
      </c>
      <c r="AF69">
        <v>4306</v>
      </c>
      <c r="AG69">
        <v>3978</v>
      </c>
      <c r="AH69">
        <v>3852</v>
      </c>
      <c r="AI69">
        <v>3989</v>
      </c>
      <c r="AJ69">
        <v>3867</v>
      </c>
      <c r="AK69">
        <v>3874</v>
      </c>
      <c r="AL69">
        <v>3866</v>
      </c>
      <c r="AM69">
        <v>4063.8554508869202</v>
      </c>
      <c r="AN69">
        <v>4083</v>
      </c>
      <c r="AO69">
        <v>4030</v>
      </c>
      <c r="AP69">
        <v>3980</v>
      </c>
      <c r="AQ69">
        <v>4051</v>
      </c>
      <c r="AR69">
        <v>4015</v>
      </c>
      <c r="AS69">
        <v>4135</v>
      </c>
      <c r="AT69">
        <v>4114</v>
      </c>
      <c r="AU69">
        <v>4193</v>
      </c>
      <c r="AV69">
        <v>4257</v>
      </c>
      <c r="AW69">
        <v>4122</v>
      </c>
      <c r="AX69">
        <v>3874</v>
      </c>
      <c r="AY69">
        <v>3981.4461622316699</v>
      </c>
      <c r="AZ69">
        <v>3965.5152827707998</v>
      </c>
      <c r="BA69">
        <v>3961.2353200431498</v>
      </c>
      <c r="BB69">
        <v>4949.7775142623896</v>
      </c>
      <c r="BC69">
        <v>4056.96540849232</v>
      </c>
      <c r="BD69">
        <v>4169</v>
      </c>
      <c r="BE69">
        <v>3883</v>
      </c>
      <c r="BF69">
        <v>4110</v>
      </c>
      <c r="BG69">
        <v>4197</v>
      </c>
      <c r="BH69">
        <v>3683</v>
      </c>
      <c r="BI69">
        <v>3690</v>
      </c>
      <c r="BJ69">
        <v>4227.6522964367496</v>
      </c>
      <c r="BK69">
        <v>4365</v>
      </c>
      <c r="BL69">
        <v>4250</v>
      </c>
      <c r="BM69">
        <v>3866</v>
      </c>
      <c r="BN69">
        <v>4212</v>
      </c>
      <c r="BO69">
        <v>4053</v>
      </c>
      <c r="BP69">
        <v>3845</v>
      </c>
      <c r="BQ69">
        <v>3870</v>
      </c>
      <c r="BR69">
        <v>4137.3360743188896</v>
      </c>
      <c r="BS69">
        <v>4244</v>
      </c>
      <c r="BT69">
        <v>4007</v>
      </c>
      <c r="BU69">
        <v>4201</v>
      </c>
      <c r="BV69">
        <v>4050</v>
      </c>
      <c r="BW69">
        <v>4034</v>
      </c>
      <c r="BX69">
        <v>4144</v>
      </c>
      <c r="BY69">
        <v>4091</v>
      </c>
      <c r="BZ69">
        <v>4160</v>
      </c>
      <c r="CA69">
        <v>3687</v>
      </c>
      <c r="CB69">
        <v>4190</v>
      </c>
      <c r="CC69">
        <v>3583</v>
      </c>
      <c r="CD69">
        <v>4107</v>
      </c>
      <c r="CE69">
        <v>4100</v>
      </c>
      <c r="CF69">
        <v>4115</v>
      </c>
      <c r="CG69">
        <v>4272.2756753263702</v>
      </c>
      <c r="CH69">
        <v>4328.1597440896803</v>
      </c>
      <c r="CJ69" s="5" t="s">
        <v>98</v>
      </c>
      <c r="CK69" s="7">
        <v>4060.1026369557499</v>
      </c>
      <c r="CL69" s="7">
        <v>4949.7775142623896</v>
      </c>
      <c r="CM69" s="7">
        <v>4145</v>
      </c>
      <c r="CN69" s="7">
        <v>0</v>
      </c>
      <c r="CO69" s="7">
        <v>4223.2059024257196</v>
      </c>
      <c r="CP69" s="7">
        <v>4629</v>
      </c>
    </row>
    <row r="70" spans="4:94" x14ac:dyDescent="0.25">
      <c r="D70">
        <v>69</v>
      </c>
      <c r="E70" t="s">
        <v>102</v>
      </c>
      <c r="F70" s="3">
        <v>42057</v>
      </c>
      <c r="G70" t="s">
        <v>103</v>
      </c>
      <c r="H70" t="s">
        <v>48</v>
      </c>
      <c r="I70">
        <v>4005</v>
      </c>
      <c r="J70">
        <v>4601</v>
      </c>
      <c r="K70">
        <v>4739</v>
      </c>
      <c r="L70">
        <v>5143</v>
      </c>
      <c r="M70">
        <v>4113.2832833108596</v>
      </c>
      <c r="N70">
        <v>4059.0692947426201</v>
      </c>
      <c r="O70" t="s">
        <v>48</v>
      </c>
      <c r="P70" t="s">
        <v>48</v>
      </c>
      <c r="Q70" t="s">
        <v>48</v>
      </c>
      <c r="R70" t="s">
        <v>48</v>
      </c>
      <c r="S70">
        <v>4467</v>
      </c>
      <c r="T70">
        <v>4362</v>
      </c>
      <c r="U70">
        <v>3892</v>
      </c>
      <c r="V70">
        <v>4281</v>
      </c>
      <c r="W70">
        <v>4292</v>
      </c>
      <c r="X70">
        <v>3965</v>
      </c>
      <c r="Y70">
        <v>4055</v>
      </c>
      <c r="Z70">
        <v>3862</v>
      </c>
      <c r="AA70">
        <v>4048</v>
      </c>
      <c r="AB70">
        <v>3940</v>
      </c>
      <c r="AC70">
        <v>3800</v>
      </c>
      <c r="AD70">
        <v>3804</v>
      </c>
      <c r="AE70">
        <v>4225.21447010048</v>
      </c>
      <c r="AF70">
        <v>4316</v>
      </c>
      <c r="AG70">
        <v>4046</v>
      </c>
      <c r="AH70">
        <v>3857</v>
      </c>
      <c r="AI70">
        <v>4044</v>
      </c>
      <c r="AJ70">
        <v>3931</v>
      </c>
      <c r="AK70">
        <v>3889</v>
      </c>
      <c r="AL70">
        <v>3910</v>
      </c>
      <c r="AM70">
        <v>4091.92464267373</v>
      </c>
      <c r="AN70">
        <v>4094</v>
      </c>
      <c r="AO70">
        <v>4124</v>
      </c>
      <c r="AP70">
        <v>4140</v>
      </c>
      <c r="AQ70">
        <v>4003</v>
      </c>
      <c r="AR70">
        <v>4006</v>
      </c>
      <c r="AS70">
        <v>4140</v>
      </c>
      <c r="AT70">
        <v>4131</v>
      </c>
      <c r="AU70">
        <v>4204</v>
      </c>
      <c r="AV70">
        <v>4257</v>
      </c>
      <c r="AW70">
        <v>4250</v>
      </c>
      <c r="AX70">
        <v>4022</v>
      </c>
      <c r="AY70">
        <v>4034.0029220091901</v>
      </c>
      <c r="AZ70">
        <v>4023.6449827234301</v>
      </c>
      <c r="BA70">
        <v>4009.7986456185899</v>
      </c>
      <c r="BB70">
        <v>4598.2026002289404</v>
      </c>
      <c r="BC70">
        <v>4233.4138864674896</v>
      </c>
      <c r="BD70">
        <v>4204</v>
      </c>
      <c r="BE70">
        <v>3862</v>
      </c>
      <c r="BF70">
        <v>4125</v>
      </c>
      <c r="BG70">
        <v>4230</v>
      </c>
      <c r="BH70">
        <v>4324</v>
      </c>
      <c r="BI70">
        <v>4283</v>
      </c>
      <c r="BJ70">
        <v>4284.2318455575596</v>
      </c>
      <c r="BK70">
        <v>4362</v>
      </c>
      <c r="BL70">
        <v>4233</v>
      </c>
      <c r="BM70">
        <v>3864</v>
      </c>
      <c r="BN70">
        <v>4185</v>
      </c>
      <c r="BO70">
        <v>4043</v>
      </c>
      <c r="BP70">
        <v>3858</v>
      </c>
      <c r="BQ70">
        <v>3842</v>
      </c>
      <c r="BR70">
        <v>4144.8790507550702</v>
      </c>
      <c r="BS70">
        <v>4269</v>
      </c>
      <c r="BT70">
        <v>4015</v>
      </c>
      <c r="BU70">
        <v>4187</v>
      </c>
      <c r="BV70">
        <v>4002</v>
      </c>
      <c r="BW70">
        <v>4054</v>
      </c>
      <c r="BX70">
        <v>4167</v>
      </c>
      <c r="BY70">
        <v>4104</v>
      </c>
      <c r="BZ70">
        <v>4109</v>
      </c>
      <c r="CA70">
        <v>3672</v>
      </c>
      <c r="CB70">
        <v>4221</v>
      </c>
      <c r="CC70">
        <v>3669</v>
      </c>
      <c r="CD70">
        <v>4148</v>
      </c>
      <c r="CE70">
        <v>4149</v>
      </c>
      <c r="CF70">
        <v>4158</v>
      </c>
      <c r="CG70">
        <v>4375.7074117079301</v>
      </c>
      <c r="CH70">
        <v>4285.2563479520504</v>
      </c>
      <c r="CJ70" s="5" t="s">
        <v>99</v>
      </c>
      <c r="CK70" s="7">
        <v>4070.7287227655702</v>
      </c>
      <c r="CL70" s="7">
        <v>4949.7775142623896</v>
      </c>
      <c r="CM70" s="7">
        <v>4219</v>
      </c>
      <c r="CN70" s="7">
        <v>0</v>
      </c>
      <c r="CO70" s="7">
        <v>4175.2223226603901</v>
      </c>
      <c r="CP70" s="7">
        <v>4533</v>
      </c>
    </row>
    <row r="71" spans="4:94" x14ac:dyDescent="0.25">
      <c r="D71">
        <v>70</v>
      </c>
      <c r="E71" t="s">
        <v>102</v>
      </c>
      <c r="F71" s="3">
        <v>42057</v>
      </c>
      <c r="G71" t="s">
        <v>104</v>
      </c>
      <c r="H71" t="s">
        <v>48</v>
      </c>
      <c r="I71">
        <v>4062</v>
      </c>
      <c r="J71">
        <v>4710</v>
      </c>
      <c r="K71">
        <v>4795</v>
      </c>
      <c r="L71">
        <v>5188</v>
      </c>
      <c r="M71">
        <v>4143.5825587828604</v>
      </c>
      <c r="N71">
        <v>4075.93672417978</v>
      </c>
      <c r="O71" t="s">
        <v>48</v>
      </c>
      <c r="P71" t="s">
        <v>48</v>
      </c>
      <c r="Q71" t="s">
        <v>48</v>
      </c>
      <c r="R71" t="s">
        <v>48</v>
      </c>
      <c r="S71">
        <v>4519</v>
      </c>
      <c r="T71">
        <v>4408</v>
      </c>
      <c r="U71">
        <v>3952</v>
      </c>
      <c r="V71">
        <v>4348</v>
      </c>
      <c r="W71">
        <v>4355</v>
      </c>
      <c r="X71">
        <v>4023</v>
      </c>
      <c r="Y71">
        <v>4055</v>
      </c>
      <c r="Z71">
        <v>3862</v>
      </c>
      <c r="AA71">
        <v>4048</v>
      </c>
      <c r="AB71">
        <v>3940</v>
      </c>
      <c r="AC71">
        <v>3800</v>
      </c>
      <c r="AD71">
        <v>3804</v>
      </c>
      <c r="AE71">
        <v>4225.21447010048</v>
      </c>
      <c r="AF71">
        <v>4325</v>
      </c>
      <c r="AG71">
        <v>4047</v>
      </c>
      <c r="AH71">
        <v>3855</v>
      </c>
      <c r="AI71">
        <v>4044</v>
      </c>
      <c r="AJ71">
        <v>3932</v>
      </c>
      <c r="AK71">
        <v>3889</v>
      </c>
      <c r="AL71">
        <v>3910</v>
      </c>
      <c r="AM71">
        <v>4100.2902201291099</v>
      </c>
      <c r="AN71">
        <v>4097</v>
      </c>
      <c r="AO71">
        <v>4124</v>
      </c>
      <c r="AP71">
        <v>4140</v>
      </c>
      <c r="AQ71">
        <v>3995</v>
      </c>
      <c r="AR71">
        <v>4006</v>
      </c>
      <c r="AS71">
        <v>4147</v>
      </c>
      <c r="AT71">
        <v>4133</v>
      </c>
      <c r="AU71">
        <v>4245</v>
      </c>
      <c r="AV71">
        <v>4321</v>
      </c>
      <c r="AW71">
        <v>4292</v>
      </c>
      <c r="AX71">
        <v>4093</v>
      </c>
      <c r="AY71">
        <v>4094.0029220091901</v>
      </c>
      <c r="AZ71">
        <v>4083.6449827234301</v>
      </c>
      <c r="BA71">
        <v>4069.7986456185899</v>
      </c>
      <c r="BB71">
        <v>4598.2026002289404</v>
      </c>
      <c r="BC71">
        <v>4233.4138864674896</v>
      </c>
      <c r="BD71">
        <v>4204</v>
      </c>
      <c r="BE71">
        <v>3862</v>
      </c>
      <c r="BF71">
        <v>4125</v>
      </c>
      <c r="BG71">
        <v>4230</v>
      </c>
      <c r="BH71">
        <v>4324</v>
      </c>
      <c r="BI71">
        <v>4283</v>
      </c>
      <c r="BJ71">
        <v>4284.2318455575596</v>
      </c>
      <c r="BK71">
        <v>4371</v>
      </c>
      <c r="BL71">
        <v>4234</v>
      </c>
      <c r="BM71">
        <v>3863</v>
      </c>
      <c r="BN71">
        <v>4185</v>
      </c>
      <c r="BO71">
        <v>4043</v>
      </c>
      <c r="BP71">
        <v>3858</v>
      </c>
      <c r="BQ71">
        <v>3843</v>
      </c>
      <c r="BR71">
        <v>4155.33582138152</v>
      </c>
      <c r="BS71">
        <v>4272</v>
      </c>
      <c r="BT71">
        <v>4015</v>
      </c>
      <c r="BU71">
        <v>4187</v>
      </c>
      <c r="BV71">
        <v>3994</v>
      </c>
      <c r="BW71">
        <v>4054</v>
      </c>
      <c r="BX71">
        <v>4172</v>
      </c>
      <c r="BY71">
        <v>4108</v>
      </c>
      <c r="BZ71">
        <v>4149</v>
      </c>
      <c r="CA71">
        <v>3728</v>
      </c>
      <c r="CB71">
        <v>4262</v>
      </c>
      <c r="CC71">
        <v>3734</v>
      </c>
      <c r="CD71">
        <v>4208</v>
      </c>
      <c r="CE71">
        <v>4209</v>
      </c>
      <c r="CF71">
        <v>4218</v>
      </c>
      <c r="CG71">
        <v>4375.7074117079301</v>
      </c>
      <c r="CH71">
        <v>4285.2563479520504</v>
      </c>
      <c r="CJ71" s="5" t="s">
        <v>100</v>
      </c>
      <c r="CK71" s="7">
        <v>4080.9868814793199</v>
      </c>
      <c r="CL71" s="7">
        <v>4949.7775142623896</v>
      </c>
      <c r="CM71" s="7">
        <v>4207</v>
      </c>
      <c r="CN71" s="7">
        <v>0</v>
      </c>
      <c r="CO71" s="7">
        <v>4176.93717867958</v>
      </c>
      <c r="CP71" s="7">
        <v>4591</v>
      </c>
    </row>
    <row r="72" spans="4:94" x14ac:dyDescent="0.25">
      <c r="D72">
        <v>71</v>
      </c>
      <c r="E72" t="s">
        <v>102</v>
      </c>
      <c r="F72" s="3">
        <v>42057</v>
      </c>
      <c r="G72" t="s">
        <v>105</v>
      </c>
      <c r="H72" t="s">
        <v>48</v>
      </c>
      <c r="I72">
        <v>4090</v>
      </c>
      <c r="J72">
        <v>4673</v>
      </c>
      <c r="K72">
        <v>4831</v>
      </c>
      <c r="L72">
        <v>5088</v>
      </c>
      <c r="M72">
        <v>4148.5578745347602</v>
      </c>
      <c r="N72">
        <v>4055.6532460207</v>
      </c>
      <c r="O72" t="s">
        <v>48</v>
      </c>
      <c r="P72" t="s">
        <v>48</v>
      </c>
      <c r="Q72" t="s">
        <v>48</v>
      </c>
      <c r="R72" t="s">
        <v>48</v>
      </c>
      <c r="S72">
        <v>4527</v>
      </c>
      <c r="T72">
        <v>4415</v>
      </c>
      <c r="U72">
        <v>3974</v>
      </c>
      <c r="V72">
        <v>4355</v>
      </c>
      <c r="W72">
        <v>4362</v>
      </c>
      <c r="X72">
        <v>4048</v>
      </c>
      <c r="Y72">
        <v>4055</v>
      </c>
      <c r="Z72">
        <v>3862</v>
      </c>
      <c r="AA72">
        <v>4048</v>
      </c>
      <c r="AB72">
        <v>3940</v>
      </c>
      <c r="AC72">
        <v>3800</v>
      </c>
      <c r="AD72">
        <v>3804</v>
      </c>
      <c r="AE72">
        <v>4225.21447010048</v>
      </c>
      <c r="AF72">
        <v>4325</v>
      </c>
      <c r="AG72">
        <v>4048</v>
      </c>
      <c r="AH72">
        <v>3855</v>
      </c>
      <c r="AI72">
        <v>4045</v>
      </c>
      <c r="AJ72">
        <v>3932</v>
      </c>
      <c r="AK72">
        <v>3889</v>
      </c>
      <c r="AL72">
        <v>3909</v>
      </c>
      <c r="AM72">
        <v>4100.9116815036796</v>
      </c>
      <c r="AN72">
        <v>4096</v>
      </c>
      <c r="AO72">
        <v>4124</v>
      </c>
      <c r="AP72">
        <v>4162</v>
      </c>
      <c r="AQ72">
        <v>3995</v>
      </c>
      <c r="AR72">
        <v>4006</v>
      </c>
      <c r="AS72">
        <v>4148</v>
      </c>
      <c r="AT72">
        <v>4135</v>
      </c>
      <c r="AU72">
        <v>4245</v>
      </c>
      <c r="AV72">
        <v>4328</v>
      </c>
      <c r="AW72">
        <v>4294</v>
      </c>
      <c r="AX72">
        <v>4100</v>
      </c>
      <c r="AY72">
        <v>4116.0029220091901</v>
      </c>
      <c r="AZ72">
        <v>4105.6449827234301</v>
      </c>
      <c r="BA72">
        <v>4091.7986456185899</v>
      </c>
      <c r="BB72">
        <v>4598.2026002289404</v>
      </c>
      <c r="BC72">
        <v>4233.4138864674896</v>
      </c>
      <c r="BD72">
        <v>4204</v>
      </c>
      <c r="BE72">
        <v>3862</v>
      </c>
      <c r="BF72">
        <v>4125</v>
      </c>
      <c r="BG72">
        <v>4230</v>
      </c>
      <c r="BH72">
        <v>4324</v>
      </c>
      <c r="BI72">
        <v>4283</v>
      </c>
      <c r="BJ72">
        <v>4284.2318455575596</v>
      </c>
      <c r="BK72">
        <v>4371</v>
      </c>
      <c r="BL72">
        <v>4235</v>
      </c>
      <c r="BM72">
        <v>3862</v>
      </c>
      <c r="BN72">
        <v>4187</v>
      </c>
      <c r="BO72">
        <v>4043</v>
      </c>
      <c r="BP72">
        <v>3858</v>
      </c>
      <c r="BQ72">
        <v>3843</v>
      </c>
      <c r="BR72">
        <v>4154.2380600303604</v>
      </c>
      <c r="BS72">
        <v>4274</v>
      </c>
      <c r="BT72">
        <v>4015</v>
      </c>
      <c r="BU72">
        <v>4209</v>
      </c>
      <c r="BV72">
        <v>3994</v>
      </c>
      <c r="BW72">
        <v>4054</v>
      </c>
      <c r="BX72">
        <v>4175</v>
      </c>
      <c r="BY72">
        <v>4112</v>
      </c>
      <c r="BZ72">
        <v>4149</v>
      </c>
      <c r="CA72">
        <v>3733</v>
      </c>
      <c r="CB72">
        <v>4264</v>
      </c>
      <c r="CC72">
        <v>3741</v>
      </c>
      <c r="CD72">
        <v>4230</v>
      </c>
      <c r="CE72">
        <v>4231</v>
      </c>
      <c r="CF72">
        <v>4240</v>
      </c>
      <c r="CG72">
        <v>4375.7074117079301</v>
      </c>
      <c r="CH72">
        <v>4285.2563479520504</v>
      </c>
      <c r="CJ72" s="5" t="s">
        <v>101</v>
      </c>
      <c r="CK72" s="7">
        <v>4092.6249461699799</v>
      </c>
      <c r="CL72" s="7">
        <v>4949.7775142623896</v>
      </c>
      <c r="CM72" s="7">
        <v>4220</v>
      </c>
      <c r="CN72" s="7">
        <v>0</v>
      </c>
      <c r="CO72" s="7">
        <v>4166.2564101652497</v>
      </c>
      <c r="CP72" s="7">
        <v>4696</v>
      </c>
    </row>
    <row r="73" spans="4:94" x14ac:dyDescent="0.25">
      <c r="D73">
        <v>72</v>
      </c>
      <c r="E73" t="s">
        <v>102</v>
      </c>
      <c r="F73" s="3">
        <v>42057</v>
      </c>
      <c r="G73" t="s">
        <v>106</v>
      </c>
      <c r="H73" t="s">
        <v>48</v>
      </c>
      <c r="I73">
        <v>4101</v>
      </c>
      <c r="J73">
        <v>4614</v>
      </c>
      <c r="K73">
        <v>4747</v>
      </c>
      <c r="L73">
        <v>5097</v>
      </c>
      <c r="M73">
        <v>4132.5686446378804</v>
      </c>
      <c r="N73">
        <v>4058.1456430354401</v>
      </c>
      <c r="O73" t="s">
        <v>48</v>
      </c>
      <c r="P73" t="s">
        <v>48</v>
      </c>
      <c r="Q73" t="s">
        <v>48</v>
      </c>
      <c r="R73" t="s">
        <v>48</v>
      </c>
      <c r="S73">
        <v>4513</v>
      </c>
      <c r="T73">
        <v>4403</v>
      </c>
      <c r="U73">
        <v>3936</v>
      </c>
      <c r="V73">
        <v>4338</v>
      </c>
      <c r="W73">
        <v>4348</v>
      </c>
      <c r="X73">
        <v>4105</v>
      </c>
      <c r="Y73">
        <v>4055</v>
      </c>
      <c r="Z73">
        <v>3862</v>
      </c>
      <c r="AA73">
        <v>4048</v>
      </c>
      <c r="AB73">
        <v>3940</v>
      </c>
      <c r="AC73">
        <v>3800</v>
      </c>
      <c r="AD73">
        <v>3804</v>
      </c>
      <c r="AE73">
        <v>4225.21447010048</v>
      </c>
      <c r="AF73">
        <v>4325</v>
      </c>
      <c r="AG73">
        <v>4048</v>
      </c>
      <c r="AH73">
        <v>3854</v>
      </c>
      <c r="AI73">
        <v>4045</v>
      </c>
      <c r="AJ73">
        <v>3932</v>
      </c>
      <c r="AK73">
        <v>3889</v>
      </c>
      <c r="AL73">
        <v>3909</v>
      </c>
      <c r="AM73">
        <v>4100.7426049969599</v>
      </c>
      <c r="AN73">
        <v>4098</v>
      </c>
      <c r="AO73">
        <v>4124</v>
      </c>
      <c r="AP73">
        <v>4162</v>
      </c>
      <c r="AQ73">
        <v>3995</v>
      </c>
      <c r="AR73">
        <v>4006</v>
      </c>
      <c r="AS73">
        <v>4148</v>
      </c>
      <c r="AT73">
        <v>4141</v>
      </c>
      <c r="AU73">
        <v>4235</v>
      </c>
      <c r="AV73">
        <v>4319</v>
      </c>
      <c r="AW73">
        <v>4285</v>
      </c>
      <c r="AX73">
        <v>4090</v>
      </c>
      <c r="AY73">
        <v>4078.0029220091901</v>
      </c>
      <c r="AZ73">
        <v>4067.6449827234301</v>
      </c>
      <c r="BA73">
        <v>4053.7986456185899</v>
      </c>
      <c r="BB73">
        <v>4598.2026002289404</v>
      </c>
      <c r="BC73">
        <v>4233.4138864674896</v>
      </c>
      <c r="BD73">
        <v>4204</v>
      </c>
      <c r="BE73">
        <v>3862</v>
      </c>
      <c r="BF73">
        <v>4125</v>
      </c>
      <c r="BG73">
        <v>4230</v>
      </c>
      <c r="BH73">
        <v>4324</v>
      </c>
      <c r="BI73">
        <v>4283</v>
      </c>
      <c r="BJ73">
        <v>4284.2318455575596</v>
      </c>
      <c r="BK73">
        <v>4371</v>
      </c>
      <c r="BL73">
        <v>4235</v>
      </c>
      <c r="BM73">
        <v>3862</v>
      </c>
      <c r="BN73">
        <v>4186</v>
      </c>
      <c r="BO73">
        <v>4043</v>
      </c>
      <c r="BP73">
        <v>3858</v>
      </c>
      <c r="BQ73">
        <v>3843</v>
      </c>
      <c r="BR73">
        <v>4153.3921386214397</v>
      </c>
      <c r="BS73">
        <v>4274</v>
      </c>
      <c r="BT73">
        <v>4015</v>
      </c>
      <c r="BU73">
        <v>4209</v>
      </c>
      <c r="BV73">
        <v>3994</v>
      </c>
      <c r="BW73">
        <v>4054</v>
      </c>
      <c r="BX73">
        <v>4174</v>
      </c>
      <c r="BY73">
        <v>4118</v>
      </c>
      <c r="BZ73">
        <v>4139</v>
      </c>
      <c r="CA73">
        <v>3725</v>
      </c>
      <c r="CB73">
        <v>4255</v>
      </c>
      <c r="CC73">
        <v>3732</v>
      </c>
      <c r="CD73">
        <v>4192</v>
      </c>
      <c r="CE73">
        <v>4193</v>
      </c>
      <c r="CF73">
        <v>4202</v>
      </c>
      <c r="CG73">
        <v>4375.7074117079301</v>
      </c>
      <c r="CH73">
        <v>4285.2563479520504</v>
      </c>
      <c r="CJ73" s="5" t="s">
        <v>103</v>
      </c>
      <c r="CK73" s="7">
        <v>4113.2832833108596</v>
      </c>
      <c r="CL73" s="7">
        <v>4598.2026002289404</v>
      </c>
      <c r="CM73" s="7">
        <v>4292</v>
      </c>
      <c r="CN73" s="7">
        <v>0</v>
      </c>
      <c r="CO73" s="7">
        <v>4059.0692947426201</v>
      </c>
      <c r="CP73" s="7">
        <v>4601</v>
      </c>
    </row>
    <row r="74" spans="4:94" x14ac:dyDescent="0.25">
      <c r="D74">
        <v>73</v>
      </c>
      <c r="E74" t="s">
        <v>102</v>
      </c>
      <c r="F74" s="3">
        <v>42057</v>
      </c>
      <c r="G74" t="s">
        <v>107</v>
      </c>
      <c r="H74" t="s">
        <v>48</v>
      </c>
      <c r="I74">
        <v>4082</v>
      </c>
      <c r="J74">
        <v>4387</v>
      </c>
      <c r="K74">
        <v>4559</v>
      </c>
      <c r="L74">
        <v>4778</v>
      </c>
      <c r="M74">
        <v>4075.3102590029698</v>
      </c>
      <c r="N74">
        <v>4007.55264323864</v>
      </c>
      <c r="O74" t="s">
        <v>48</v>
      </c>
      <c r="P74" t="s">
        <v>48</v>
      </c>
      <c r="Q74" t="s">
        <v>48</v>
      </c>
      <c r="R74" t="s">
        <v>48</v>
      </c>
      <c r="S74">
        <v>4355</v>
      </c>
      <c r="T74">
        <v>4238</v>
      </c>
      <c r="U74">
        <v>3894</v>
      </c>
      <c r="V74">
        <v>4260</v>
      </c>
      <c r="W74">
        <v>4280</v>
      </c>
      <c r="X74">
        <v>4074</v>
      </c>
      <c r="Y74">
        <v>4059</v>
      </c>
      <c r="Z74">
        <v>3858</v>
      </c>
      <c r="AA74">
        <v>4079</v>
      </c>
      <c r="AB74">
        <v>4030</v>
      </c>
      <c r="AC74">
        <v>3805</v>
      </c>
      <c r="AD74">
        <v>3802</v>
      </c>
      <c r="AE74">
        <v>4291.0637461133301</v>
      </c>
      <c r="AF74">
        <v>4370</v>
      </c>
      <c r="AG74">
        <v>4088</v>
      </c>
      <c r="AH74">
        <v>3685</v>
      </c>
      <c r="AI74">
        <v>4129</v>
      </c>
      <c r="AJ74">
        <v>3994</v>
      </c>
      <c r="AK74">
        <v>3903</v>
      </c>
      <c r="AL74">
        <v>3928</v>
      </c>
      <c r="AM74">
        <v>4123.0523370913897</v>
      </c>
      <c r="AN74">
        <v>4124</v>
      </c>
      <c r="AO74">
        <v>4111</v>
      </c>
      <c r="AP74">
        <v>4103</v>
      </c>
      <c r="AQ74">
        <v>3995</v>
      </c>
      <c r="AR74">
        <v>4025</v>
      </c>
      <c r="AS74">
        <v>4158</v>
      </c>
      <c r="AT74">
        <v>4112</v>
      </c>
      <c r="AU74">
        <v>4168</v>
      </c>
      <c r="AV74">
        <v>4131</v>
      </c>
      <c r="AW74">
        <v>4275</v>
      </c>
      <c r="AX74">
        <v>4020</v>
      </c>
      <c r="AY74">
        <v>4015.6454005046899</v>
      </c>
      <c r="AZ74">
        <v>4006.5569350894002</v>
      </c>
      <c r="BA74">
        <v>4017.07624806992</v>
      </c>
      <c r="BB74">
        <v>4570.2079541526</v>
      </c>
      <c r="BC74">
        <v>4239.4984134516199</v>
      </c>
      <c r="BD74">
        <v>4071</v>
      </c>
      <c r="BE74">
        <v>3882</v>
      </c>
      <c r="BF74">
        <v>4007</v>
      </c>
      <c r="BG74">
        <v>4114</v>
      </c>
      <c r="BH74">
        <v>3673</v>
      </c>
      <c r="BI74">
        <v>3700</v>
      </c>
      <c r="BJ74">
        <v>4326.4142926185305</v>
      </c>
      <c r="BK74">
        <v>4479</v>
      </c>
      <c r="BL74">
        <v>4043</v>
      </c>
      <c r="BM74">
        <v>3656</v>
      </c>
      <c r="BN74">
        <v>4048</v>
      </c>
      <c r="BO74">
        <v>3970</v>
      </c>
      <c r="BP74">
        <v>3804</v>
      </c>
      <c r="BQ74">
        <v>3824</v>
      </c>
      <c r="BR74">
        <v>4155.6355825866503</v>
      </c>
      <c r="BS74">
        <v>4257</v>
      </c>
      <c r="BT74">
        <v>3997</v>
      </c>
      <c r="BU74">
        <v>4261</v>
      </c>
      <c r="BV74">
        <v>4030</v>
      </c>
      <c r="BW74">
        <v>4034</v>
      </c>
      <c r="BX74">
        <v>4176</v>
      </c>
      <c r="BY74">
        <v>4069</v>
      </c>
      <c r="BZ74">
        <v>3954</v>
      </c>
      <c r="CA74">
        <v>3608</v>
      </c>
      <c r="CB74">
        <v>4125</v>
      </c>
      <c r="CC74">
        <v>3654</v>
      </c>
      <c r="CD74">
        <v>4144</v>
      </c>
      <c r="CE74">
        <v>4133</v>
      </c>
      <c r="CF74">
        <v>4151</v>
      </c>
      <c r="CG74">
        <v>4539.3246532821704</v>
      </c>
      <c r="CH74">
        <v>4355.0125345598899</v>
      </c>
      <c r="CJ74" s="5" t="s">
        <v>104</v>
      </c>
      <c r="CK74" s="7">
        <v>4143.5825587828604</v>
      </c>
      <c r="CL74" s="7">
        <v>4598.2026002289404</v>
      </c>
      <c r="CM74" s="7">
        <v>4355</v>
      </c>
      <c r="CN74" s="7">
        <v>0</v>
      </c>
      <c r="CO74" s="7">
        <v>4075.93672417978</v>
      </c>
      <c r="CP74" s="7">
        <v>4710</v>
      </c>
    </row>
    <row r="75" spans="4:94" x14ac:dyDescent="0.25">
      <c r="D75">
        <v>74</v>
      </c>
      <c r="E75" t="s">
        <v>102</v>
      </c>
      <c r="F75" s="3">
        <v>42057</v>
      </c>
      <c r="G75" t="s">
        <v>108</v>
      </c>
      <c r="H75" t="s">
        <v>48</v>
      </c>
      <c r="I75">
        <v>4107</v>
      </c>
      <c r="J75">
        <v>4539</v>
      </c>
      <c r="K75">
        <v>4670</v>
      </c>
      <c r="L75">
        <v>4971</v>
      </c>
      <c r="M75">
        <v>4146.2487355715302</v>
      </c>
      <c r="N75">
        <v>4071.6187235615998</v>
      </c>
      <c r="O75" t="s">
        <v>48</v>
      </c>
      <c r="P75" t="s">
        <v>48</v>
      </c>
      <c r="Q75" t="s">
        <v>48</v>
      </c>
      <c r="R75" t="s">
        <v>48</v>
      </c>
      <c r="S75">
        <v>4481</v>
      </c>
      <c r="T75">
        <v>4370</v>
      </c>
      <c r="U75">
        <v>3925</v>
      </c>
      <c r="V75">
        <v>4329</v>
      </c>
      <c r="W75">
        <v>4344</v>
      </c>
      <c r="X75">
        <v>4079</v>
      </c>
      <c r="Y75">
        <v>4059</v>
      </c>
      <c r="Z75">
        <v>3858</v>
      </c>
      <c r="AA75">
        <v>4079</v>
      </c>
      <c r="AB75">
        <v>4030</v>
      </c>
      <c r="AC75">
        <v>3805</v>
      </c>
      <c r="AD75">
        <v>3802</v>
      </c>
      <c r="AE75">
        <v>4291.0637461133301</v>
      </c>
      <c r="AF75">
        <v>4396</v>
      </c>
      <c r="AG75">
        <v>4089</v>
      </c>
      <c r="AH75">
        <v>3686</v>
      </c>
      <c r="AI75">
        <v>4133</v>
      </c>
      <c r="AJ75">
        <v>4000</v>
      </c>
      <c r="AK75">
        <v>3905</v>
      </c>
      <c r="AL75">
        <v>3931</v>
      </c>
      <c r="AM75">
        <v>4128.7398172591102</v>
      </c>
      <c r="AN75">
        <v>4135</v>
      </c>
      <c r="AO75">
        <v>4111</v>
      </c>
      <c r="AP75">
        <v>4103</v>
      </c>
      <c r="AQ75">
        <v>4003</v>
      </c>
      <c r="AR75">
        <v>4025</v>
      </c>
      <c r="AS75">
        <v>4161</v>
      </c>
      <c r="AT75">
        <v>4129</v>
      </c>
      <c r="AU75">
        <v>4220</v>
      </c>
      <c r="AV75">
        <v>4181</v>
      </c>
      <c r="AW75">
        <v>4324</v>
      </c>
      <c r="AX75">
        <v>4070</v>
      </c>
      <c r="AY75">
        <v>4046.6454005046899</v>
      </c>
      <c r="AZ75">
        <v>4037.5569350894002</v>
      </c>
      <c r="BA75">
        <v>4048.07624806992</v>
      </c>
      <c r="BB75">
        <v>4570.2079541526</v>
      </c>
      <c r="BC75">
        <v>4239.4984134516199</v>
      </c>
      <c r="BD75">
        <v>4071</v>
      </c>
      <c r="BE75">
        <v>3882</v>
      </c>
      <c r="BF75">
        <v>4007</v>
      </c>
      <c r="BG75">
        <v>4114</v>
      </c>
      <c r="BH75">
        <v>3673</v>
      </c>
      <c r="BI75">
        <v>3700</v>
      </c>
      <c r="BJ75">
        <v>4326.4142926185305</v>
      </c>
      <c r="BK75">
        <v>4489</v>
      </c>
      <c r="BL75">
        <v>4044</v>
      </c>
      <c r="BM75">
        <v>3657</v>
      </c>
      <c r="BN75">
        <v>4050</v>
      </c>
      <c r="BO75">
        <v>3972</v>
      </c>
      <c r="BP75">
        <v>3806</v>
      </c>
      <c r="BQ75">
        <v>3825</v>
      </c>
      <c r="BR75">
        <v>4162.2863310892999</v>
      </c>
      <c r="BS75">
        <v>4269</v>
      </c>
      <c r="BT75">
        <v>3997</v>
      </c>
      <c r="BU75">
        <v>4261</v>
      </c>
      <c r="BV75">
        <v>4038</v>
      </c>
      <c r="BW75">
        <v>4034</v>
      </c>
      <c r="BX75">
        <v>4179</v>
      </c>
      <c r="BY75">
        <v>4087</v>
      </c>
      <c r="BZ75">
        <v>4004</v>
      </c>
      <c r="CA75">
        <v>3651</v>
      </c>
      <c r="CB75">
        <v>4173</v>
      </c>
      <c r="CC75">
        <v>3699</v>
      </c>
      <c r="CD75">
        <v>4175</v>
      </c>
      <c r="CE75">
        <v>4164</v>
      </c>
      <c r="CF75">
        <v>4182</v>
      </c>
      <c r="CG75">
        <v>4539.3246532821704</v>
      </c>
      <c r="CH75">
        <v>4355.0125345598899</v>
      </c>
      <c r="CJ75" s="5" t="s">
        <v>105</v>
      </c>
      <c r="CK75" s="7">
        <v>4148.5578745347602</v>
      </c>
      <c r="CL75" s="7">
        <v>4598.2026002289404</v>
      </c>
      <c r="CM75" s="7">
        <v>4362</v>
      </c>
      <c r="CN75" s="7">
        <v>0</v>
      </c>
      <c r="CO75" s="7">
        <v>4055.6532460207</v>
      </c>
      <c r="CP75" s="7">
        <v>4673</v>
      </c>
    </row>
    <row r="76" spans="4:94" x14ac:dyDescent="0.25">
      <c r="D76">
        <v>75</v>
      </c>
      <c r="E76" t="s">
        <v>109</v>
      </c>
      <c r="F76" s="3">
        <v>42057</v>
      </c>
      <c r="G76" t="s">
        <v>110</v>
      </c>
      <c r="H76" t="s">
        <v>48</v>
      </c>
      <c r="I76">
        <v>4071</v>
      </c>
      <c r="J76">
        <v>4612</v>
      </c>
      <c r="K76">
        <v>4711</v>
      </c>
      <c r="L76">
        <v>5220</v>
      </c>
      <c r="M76">
        <v>4183.6841974422896</v>
      </c>
      <c r="N76">
        <v>4097.9964754051398</v>
      </c>
      <c r="O76" t="s">
        <v>48</v>
      </c>
      <c r="P76" t="s">
        <v>48</v>
      </c>
      <c r="Q76" t="s">
        <v>48</v>
      </c>
      <c r="R76" t="s">
        <v>48</v>
      </c>
      <c r="S76">
        <v>4568</v>
      </c>
      <c r="T76">
        <v>4469</v>
      </c>
      <c r="U76">
        <v>3938</v>
      </c>
      <c r="V76">
        <v>4332</v>
      </c>
      <c r="W76">
        <v>4348</v>
      </c>
      <c r="X76">
        <v>4089</v>
      </c>
      <c r="Y76">
        <v>4059</v>
      </c>
      <c r="Z76">
        <v>3858</v>
      </c>
      <c r="AA76">
        <v>4079</v>
      </c>
      <c r="AB76">
        <v>4030</v>
      </c>
      <c r="AC76">
        <v>3805</v>
      </c>
      <c r="AD76">
        <v>3802</v>
      </c>
      <c r="AE76">
        <v>4322.1624123764104</v>
      </c>
      <c r="AF76">
        <v>4426</v>
      </c>
      <c r="AG76">
        <v>4093</v>
      </c>
      <c r="AH76">
        <v>3686</v>
      </c>
      <c r="AI76">
        <v>4137</v>
      </c>
      <c r="AJ76">
        <v>4006</v>
      </c>
      <c r="AK76">
        <v>3910</v>
      </c>
      <c r="AL76">
        <v>3937</v>
      </c>
      <c r="AM76">
        <v>4130.9280394714697</v>
      </c>
      <c r="AN76">
        <v>4135</v>
      </c>
      <c r="AO76">
        <v>4111</v>
      </c>
      <c r="AP76">
        <v>4109</v>
      </c>
      <c r="AQ76">
        <v>4003</v>
      </c>
      <c r="AR76">
        <v>4025</v>
      </c>
      <c r="AS76">
        <v>4161</v>
      </c>
      <c r="AT76">
        <v>4136</v>
      </c>
      <c r="AU76">
        <v>4229</v>
      </c>
      <c r="AV76">
        <v>4176</v>
      </c>
      <c r="AW76">
        <v>4329</v>
      </c>
      <c r="AX76">
        <v>4064</v>
      </c>
      <c r="AY76">
        <v>4059.6454005046899</v>
      </c>
      <c r="AZ76">
        <v>4050.5569350894002</v>
      </c>
      <c r="BA76">
        <v>4061.07624806992</v>
      </c>
      <c r="BB76">
        <v>4735.4628451907101</v>
      </c>
      <c r="BC76">
        <v>4278.1461009942304</v>
      </c>
      <c r="BD76">
        <v>4071</v>
      </c>
      <c r="BE76">
        <v>3882</v>
      </c>
      <c r="BF76">
        <v>4007</v>
      </c>
      <c r="BG76">
        <v>4114</v>
      </c>
      <c r="BH76">
        <v>3673</v>
      </c>
      <c r="BI76">
        <v>3700</v>
      </c>
      <c r="BJ76">
        <v>4357.7691552266197</v>
      </c>
      <c r="BK76">
        <v>4519</v>
      </c>
      <c r="BL76">
        <v>4046</v>
      </c>
      <c r="BM76">
        <v>3658</v>
      </c>
      <c r="BN76">
        <v>4052</v>
      </c>
      <c r="BO76">
        <v>3976</v>
      </c>
      <c r="BP76">
        <v>3807</v>
      </c>
      <c r="BQ76">
        <v>3827</v>
      </c>
      <c r="BR76">
        <v>4165.0616224182104</v>
      </c>
      <c r="BS76">
        <v>4268</v>
      </c>
      <c r="BT76">
        <v>3997</v>
      </c>
      <c r="BU76">
        <v>4268</v>
      </c>
      <c r="BV76">
        <v>4038</v>
      </c>
      <c r="BW76">
        <v>4034</v>
      </c>
      <c r="BX76">
        <v>4178</v>
      </c>
      <c r="BY76">
        <v>4092</v>
      </c>
      <c r="BZ76">
        <v>4012</v>
      </c>
      <c r="CA76">
        <v>3648</v>
      </c>
      <c r="CB76">
        <v>4177</v>
      </c>
      <c r="CC76">
        <v>3694</v>
      </c>
      <c r="CD76">
        <v>4188</v>
      </c>
      <c r="CE76">
        <v>4177</v>
      </c>
      <c r="CF76">
        <v>4195</v>
      </c>
      <c r="CG76">
        <v>4479.8588923439102</v>
      </c>
      <c r="CH76">
        <v>4315.5776388767399</v>
      </c>
      <c r="CJ76" s="5" t="s">
        <v>106</v>
      </c>
      <c r="CK76" s="7">
        <v>4132.5686446378804</v>
      </c>
      <c r="CL76" s="7">
        <v>4598.2026002289404</v>
      </c>
      <c r="CM76" s="7">
        <v>4348</v>
      </c>
      <c r="CN76" s="7">
        <v>0</v>
      </c>
      <c r="CO76" s="7">
        <v>4058.1456430354401</v>
      </c>
      <c r="CP76" s="7">
        <v>4614</v>
      </c>
    </row>
    <row r="77" spans="4:94" x14ac:dyDescent="0.25">
      <c r="D77">
        <v>76</v>
      </c>
      <c r="E77" t="s">
        <v>109</v>
      </c>
      <c r="F77" s="3">
        <v>42057</v>
      </c>
      <c r="G77" t="s">
        <v>111</v>
      </c>
      <c r="H77" t="s">
        <v>48</v>
      </c>
      <c r="I77">
        <v>4245</v>
      </c>
      <c r="J77">
        <v>4593</v>
      </c>
      <c r="K77">
        <v>4761</v>
      </c>
      <c r="L77">
        <v>5330</v>
      </c>
      <c r="M77">
        <v>4256.5286699319304</v>
      </c>
      <c r="N77">
        <v>4040.9600403115801</v>
      </c>
      <c r="O77" t="s">
        <v>48</v>
      </c>
      <c r="P77" t="s">
        <v>48</v>
      </c>
      <c r="Q77" t="s">
        <v>48</v>
      </c>
      <c r="R77" t="s">
        <v>48</v>
      </c>
      <c r="S77">
        <v>4611</v>
      </c>
      <c r="T77">
        <v>4504</v>
      </c>
      <c r="U77">
        <v>4054</v>
      </c>
      <c r="V77">
        <v>4441</v>
      </c>
      <c r="W77">
        <v>4484</v>
      </c>
      <c r="X77">
        <v>4066</v>
      </c>
      <c r="Y77">
        <v>4059</v>
      </c>
      <c r="Z77">
        <v>3858</v>
      </c>
      <c r="AA77">
        <v>4079</v>
      </c>
      <c r="AB77">
        <v>4030</v>
      </c>
      <c r="AC77">
        <v>3805</v>
      </c>
      <c r="AD77">
        <v>3802</v>
      </c>
      <c r="AE77">
        <v>4329.8502417970503</v>
      </c>
      <c r="AF77">
        <v>4424</v>
      </c>
      <c r="AG77">
        <v>4093</v>
      </c>
      <c r="AH77">
        <v>3687</v>
      </c>
      <c r="AI77">
        <v>4138</v>
      </c>
      <c r="AJ77">
        <v>4007</v>
      </c>
      <c r="AK77">
        <v>3911</v>
      </c>
      <c r="AL77">
        <v>3938</v>
      </c>
      <c r="AM77">
        <v>4141.4757490310503</v>
      </c>
      <c r="AN77">
        <v>4153</v>
      </c>
      <c r="AO77">
        <v>4111</v>
      </c>
      <c r="AP77">
        <v>4123</v>
      </c>
      <c r="AQ77">
        <v>4003</v>
      </c>
      <c r="AR77">
        <v>4025</v>
      </c>
      <c r="AS77">
        <v>4174</v>
      </c>
      <c r="AT77">
        <v>4155</v>
      </c>
      <c r="AU77">
        <v>4279</v>
      </c>
      <c r="AV77">
        <v>4268</v>
      </c>
      <c r="AW77">
        <v>4387</v>
      </c>
      <c r="AX77">
        <v>4165</v>
      </c>
      <c r="AY77">
        <v>4175.6454005046899</v>
      </c>
      <c r="AZ77">
        <v>4166.5569350894002</v>
      </c>
      <c r="BA77">
        <v>4177.0762480699204</v>
      </c>
      <c r="BB77">
        <v>4735.4628451907101</v>
      </c>
      <c r="BC77">
        <v>4278.1461009942304</v>
      </c>
      <c r="BD77">
        <v>4071</v>
      </c>
      <c r="BE77">
        <v>3882</v>
      </c>
      <c r="BF77">
        <v>4007</v>
      </c>
      <c r="BG77">
        <v>4114</v>
      </c>
      <c r="BH77">
        <v>3673</v>
      </c>
      <c r="BI77">
        <v>3700</v>
      </c>
      <c r="BJ77">
        <v>4357.7691552266197</v>
      </c>
      <c r="BK77">
        <v>4527</v>
      </c>
      <c r="BL77">
        <v>4046</v>
      </c>
      <c r="BM77">
        <v>3658</v>
      </c>
      <c r="BN77">
        <v>4052</v>
      </c>
      <c r="BO77">
        <v>3976</v>
      </c>
      <c r="BP77">
        <v>3806</v>
      </c>
      <c r="BQ77">
        <v>3826</v>
      </c>
      <c r="BR77">
        <v>4179.0905339782203</v>
      </c>
      <c r="BS77">
        <v>4289</v>
      </c>
      <c r="BT77">
        <v>3997</v>
      </c>
      <c r="BU77">
        <v>4282</v>
      </c>
      <c r="BV77">
        <v>4038</v>
      </c>
      <c r="BW77">
        <v>4034</v>
      </c>
      <c r="BX77">
        <v>4191</v>
      </c>
      <c r="BY77">
        <v>4114</v>
      </c>
      <c r="BZ77">
        <v>4060</v>
      </c>
      <c r="CA77">
        <v>3728</v>
      </c>
      <c r="CB77">
        <v>4234</v>
      </c>
      <c r="CC77">
        <v>3786</v>
      </c>
      <c r="CD77">
        <v>4304</v>
      </c>
      <c r="CE77">
        <v>4293</v>
      </c>
      <c r="CF77">
        <v>4311</v>
      </c>
      <c r="CG77">
        <v>4479.8588923439102</v>
      </c>
      <c r="CH77">
        <v>4315.5776388767399</v>
      </c>
      <c r="CJ77" s="5" t="s">
        <v>107</v>
      </c>
      <c r="CK77" s="7">
        <v>4075.3102590029698</v>
      </c>
      <c r="CL77" s="7">
        <v>4570.2079541526</v>
      </c>
      <c r="CM77" s="7">
        <v>4280</v>
      </c>
      <c r="CN77" s="7">
        <v>0</v>
      </c>
      <c r="CO77" s="7">
        <v>4007.55264323864</v>
      </c>
      <c r="CP77" s="7">
        <v>4387</v>
      </c>
    </row>
    <row r="78" spans="4:94" x14ac:dyDescent="0.25">
      <c r="D78">
        <v>77</v>
      </c>
      <c r="E78" t="s">
        <v>109</v>
      </c>
      <c r="F78" s="3">
        <v>42057</v>
      </c>
      <c r="G78" t="s">
        <v>112</v>
      </c>
      <c r="H78" t="s">
        <v>48</v>
      </c>
      <c r="I78">
        <v>4385</v>
      </c>
      <c r="J78">
        <v>4632</v>
      </c>
      <c r="K78">
        <v>4595</v>
      </c>
      <c r="L78">
        <v>5187</v>
      </c>
      <c r="M78">
        <v>4229.5556386041699</v>
      </c>
      <c r="N78">
        <v>4047.3559320070199</v>
      </c>
      <c r="O78" t="s">
        <v>48</v>
      </c>
      <c r="P78" t="s">
        <v>48</v>
      </c>
      <c r="Q78" t="s">
        <v>48</v>
      </c>
      <c r="R78" t="s">
        <v>48</v>
      </c>
      <c r="S78">
        <v>4592</v>
      </c>
      <c r="T78">
        <v>4467</v>
      </c>
      <c r="U78">
        <v>4253</v>
      </c>
      <c r="V78">
        <v>4543</v>
      </c>
      <c r="W78">
        <v>4556</v>
      </c>
      <c r="X78">
        <v>3940</v>
      </c>
      <c r="Y78">
        <v>4283</v>
      </c>
      <c r="Z78">
        <v>3770</v>
      </c>
      <c r="AA78">
        <v>4188</v>
      </c>
      <c r="AB78">
        <v>4083</v>
      </c>
      <c r="AC78">
        <v>3825</v>
      </c>
      <c r="AD78">
        <v>3816</v>
      </c>
      <c r="AE78">
        <v>4416.2122638138899</v>
      </c>
      <c r="AF78">
        <v>4567</v>
      </c>
      <c r="AG78">
        <v>4367</v>
      </c>
      <c r="AH78">
        <v>3440</v>
      </c>
      <c r="AI78">
        <v>4309</v>
      </c>
      <c r="AJ78">
        <v>4159</v>
      </c>
      <c r="AK78">
        <v>3993</v>
      </c>
      <c r="AL78">
        <v>3998</v>
      </c>
      <c r="AM78">
        <v>4177.6428011241296</v>
      </c>
      <c r="AN78">
        <v>4160</v>
      </c>
      <c r="AO78">
        <v>4107</v>
      </c>
      <c r="AP78">
        <v>4151</v>
      </c>
      <c r="AQ78">
        <v>4028</v>
      </c>
      <c r="AR78">
        <v>4004</v>
      </c>
      <c r="AS78">
        <v>4210</v>
      </c>
      <c r="AT78">
        <v>4166</v>
      </c>
      <c r="AU78">
        <v>4332</v>
      </c>
      <c r="AV78">
        <v>4205</v>
      </c>
      <c r="AW78">
        <v>4436</v>
      </c>
      <c r="AX78">
        <v>4204</v>
      </c>
      <c r="AY78">
        <v>4324.6574743681804</v>
      </c>
      <c r="AZ78">
        <v>4327.9814098878996</v>
      </c>
      <c r="BA78">
        <v>4344.4983327705004</v>
      </c>
      <c r="BB78">
        <v>4682.01628854519</v>
      </c>
      <c r="BC78">
        <v>4349.9014480763999</v>
      </c>
      <c r="BD78">
        <v>4208</v>
      </c>
      <c r="BE78">
        <v>3801</v>
      </c>
      <c r="BF78">
        <v>4097</v>
      </c>
      <c r="BG78">
        <v>4171</v>
      </c>
      <c r="BH78">
        <v>4340</v>
      </c>
      <c r="BI78">
        <v>4327</v>
      </c>
      <c r="BJ78">
        <v>4278.7348400581895</v>
      </c>
      <c r="BK78">
        <v>4370</v>
      </c>
      <c r="BL78">
        <v>4153</v>
      </c>
      <c r="BM78">
        <v>3440</v>
      </c>
      <c r="BN78">
        <v>4136</v>
      </c>
      <c r="BO78">
        <v>3984</v>
      </c>
      <c r="BP78">
        <v>3770</v>
      </c>
      <c r="BQ78">
        <v>3803</v>
      </c>
      <c r="BR78">
        <v>4176.4618762617802</v>
      </c>
      <c r="BS78">
        <v>4286</v>
      </c>
      <c r="BT78">
        <v>3991</v>
      </c>
      <c r="BU78">
        <v>4238</v>
      </c>
      <c r="BV78">
        <v>4047</v>
      </c>
      <c r="BW78">
        <v>3930</v>
      </c>
      <c r="BX78">
        <v>4091</v>
      </c>
      <c r="BY78">
        <v>4057</v>
      </c>
      <c r="BZ78">
        <v>3988</v>
      </c>
      <c r="CA78">
        <v>3782</v>
      </c>
      <c r="CB78">
        <v>4155</v>
      </c>
      <c r="CC78">
        <v>3806</v>
      </c>
      <c r="CD78">
        <v>4490</v>
      </c>
      <c r="CE78">
        <v>4487</v>
      </c>
      <c r="CF78">
        <v>4494</v>
      </c>
      <c r="CG78">
        <v>4148.7426288397901</v>
      </c>
      <c r="CH78">
        <v>4256.0202642364002</v>
      </c>
      <c r="CJ78" s="5" t="s">
        <v>108</v>
      </c>
      <c r="CK78" s="7">
        <v>4146.2487355715302</v>
      </c>
      <c r="CL78" s="7">
        <v>4570.2079541526</v>
      </c>
      <c r="CM78" s="7">
        <v>4344</v>
      </c>
      <c r="CN78" s="7">
        <v>0</v>
      </c>
      <c r="CO78" s="7">
        <v>4071.6187235615998</v>
      </c>
      <c r="CP78" s="7">
        <v>4539</v>
      </c>
    </row>
    <row r="79" spans="4:94" x14ac:dyDescent="0.25">
      <c r="D79">
        <v>78</v>
      </c>
      <c r="E79" t="s">
        <v>109</v>
      </c>
      <c r="F79" s="3">
        <v>42057</v>
      </c>
      <c r="G79" t="s">
        <v>113</v>
      </c>
      <c r="H79" t="s">
        <v>48</v>
      </c>
      <c r="I79">
        <v>4371</v>
      </c>
      <c r="J79">
        <v>4632</v>
      </c>
      <c r="K79">
        <v>4542</v>
      </c>
      <c r="L79">
        <v>5083</v>
      </c>
      <c r="M79">
        <v>4274.9543793046796</v>
      </c>
      <c r="N79">
        <v>4079.46251869752</v>
      </c>
      <c r="O79" t="s">
        <v>48</v>
      </c>
      <c r="P79" t="s">
        <v>48</v>
      </c>
      <c r="Q79" t="s">
        <v>48</v>
      </c>
      <c r="R79" t="s">
        <v>48</v>
      </c>
      <c r="S79">
        <v>4553</v>
      </c>
      <c r="T79">
        <v>4423</v>
      </c>
      <c r="U79">
        <v>4254</v>
      </c>
      <c r="V79">
        <v>4520</v>
      </c>
      <c r="W79">
        <v>4531</v>
      </c>
      <c r="X79">
        <v>4060</v>
      </c>
      <c r="Y79">
        <v>4283</v>
      </c>
      <c r="Z79">
        <v>3770</v>
      </c>
      <c r="AA79">
        <v>4184</v>
      </c>
      <c r="AB79">
        <v>4083</v>
      </c>
      <c r="AC79">
        <v>3825</v>
      </c>
      <c r="AD79">
        <v>3816</v>
      </c>
      <c r="AE79">
        <v>4416.2122638138899</v>
      </c>
      <c r="AF79">
        <v>4567</v>
      </c>
      <c r="AG79">
        <v>4365</v>
      </c>
      <c r="AH79">
        <v>3440</v>
      </c>
      <c r="AI79">
        <v>4308</v>
      </c>
      <c r="AJ79">
        <v>4159</v>
      </c>
      <c r="AK79">
        <v>3992</v>
      </c>
      <c r="AL79">
        <v>3997</v>
      </c>
      <c r="AM79">
        <v>4176.7869210826002</v>
      </c>
      <c r="AN79">
        <v>4161</v>
      </c>
      <c r="AO79">
        <v>4107</v>
      </c>
      <c r="AP79">
        <v>4151</v>
      </c>
      <c r="AQ79">
        <v>4028</v>
      </c>
      <c r="AR79">
        <v>4004</v>
      </c>
      <c r="AS79">
        <v>4210</v>
      </c>
      <c r="AT79">
        <v>4165</v>
      </c>
      <c r="AU79">
        <v>4326</v>
      </c>
      <c r="AV79">
        <v>4200</v>
      </c>
      <c r="AW79">
        <v>4430</v>
      </c>
      <c r="AX79">
        <v>4198</v>
      </c>
      <c r="AY79">
        <v>4325.6574743681804</v>
      </c>
      <c r="AZ79">
        <v>4328.9814098878996</v>
      </c>
      <c r="BA79">
        <v>4345.4983327705004</v>
      </c>
      <c r="BB79">
        <v>4682.01628854519</v>
      </c>
      <c r="BC79">
        <v>4349.9014480763999</v>
      </c>
      <c r="BD79">
        <v>4208</v>
      </c>
      <c r="BE79">
        <v>3801</v>
      </c>
      <c r="BF79">
        <v>4097</v>
      </c>
      <c r="BG79">
        <v>4171</v>
      </c>
      <c r="BH79">
        <v>4340</v>
      </c>
      <c r="BI79">
        <v>4327</v>
      </c>
      <c r="BJ79">
        <v>4278.7348400581895</v>
      </c>
      <c r="BK79">
        <v>4370</v>
      </c>
      <c r="BL79">
        <v>4153</v>
      </c>
      <c r="BM79">
        <v>3440</v>
      </c>
      <c r="BN79">
        <v>4135</v>
      </c>
      <c r="BO79">
        <v>3984</v>
      </c>
      <c r="BP79">
        <v>3769</v>
      </c>
      <c r="BQ79">
        <v>3803</v>
      </c>
      <c r="BR79">
        <v>4175.4446597817196</v>
      </c>
      <c r="BS79">
        <v>4285</v>
      </c>
      <c r="BT79">
        <v>3991</v>
      </c>
      <c r="BU79">
        <v>4238</v>
      </c>
      <c r="BV79">
        <v>4047</v>
      </c>
      <c r="BW79">
        <v>3930</v>
      </c>
      <c r="BX79">
        <v>4090</v>
      </c>
      <c r="BY79">
        <v>4054</v>
      </c>
      <c r="BZ79">
        <v>3983</v>
      </c>
      <c r="CA79">
        <v>3777</v>
      </c>
      <c r="CB79">
        <v>4149</v>
      </c>
      <c r="CC79">
        <v>3801</v>
      </c>
      <c r="CD79">
        <v>4491</v>
      </c>
      <c r="CE79">
        <v>4488</v>
      </c>
      <c r="CF79">
        <v>4495</v>
      </c>
      <c r="CG79">
        <v>4148.7426288397901</v>
      </c>
      <c r="CH79">
        <v>4256.0202642364002</v>
      </c>
      <c r="CJ79" s="5" t="s">
        <v>110</v>
      </c>
      <c r="CK79" s="7">
        <v>4183.6841974422896</v>
      </c>
      <c r="CL79" s="7">
        <v>4735.4628451907101</v>
      </c>
      <c r="CM79" s="7">
        <v>4348</v>
      </c>
      <c r="CN79" s="7">
        <v>0</v>
      </c>
      <c r="CO79" s="7">
        <v>4097.9964754051398</v>
      </c>
      <c r="CP79" s="7">
        <v>4612</v>
      </c>
    </row>
    <row r="80" spans="4:94" x14ac:dyDescent="0.25">
      <c r="D80">
        <v>79</v>
      </c>
      <c r="E80" t="s">
        <v>109</v>
      </c>
      <c r="F80" s="3">
        <v>42057</v>
      </c>
      <c r="G80" t="s">
        <v>114</v>
      </c>
      <c r="H80" t="s">
        <v>48</v>
      </c>
      <c r="I80">
        <v>4172</v>
      </c>
      <c r="J80">
        <v>4632</v>
      </c>
      <c r="K80">
        <v>4472</v>
      </c>
      <c r="L80">
        <v>4895</v>
      </c>
      <c r="M80">
        <v>4148.0986378310899</v>
      </c>
      <c r="N80">
        <v>4035.4275440051701</v>
      </c>
      <c r="O80" t="s">
        <v>48</v>
      </c>
      <c r="P80" t="s">
        <v>48</v>
      </c>
      <c r="Q80" t="s">
        <v>48</v>
      </c>
      <c r="R80" t="s">
        <v>48</v>
      </c>
      <c r="S80">
        <v>4430</v>
      </c>
      <c r="T80">
        <v>4300</v>
      </c>
      <c r="U80">
        <v>4131</v>
      </c>
      <c r="V80">
        <v>4378</v>
      </c>
      <c r="W80">
        <v>4388</v>
      </c>
      <c r="X80">
        <v>4086</v>
      </c>
      <c r="Y80">
        <v>4281</v>
      </c>
      <c r="Z80">
        <v>3770</v>
      </c>
      <c r="AA80">
        <v>4179</v>
      </c>
      <c r="AB80">
        <v>4081</v>
      </c>
      <c r="AC80">
        <v>3825</v>
      </c>
      <c r="AD80">
        <v>3816</v>
      </c>
      <c r="AE80">
        <v>4407.09792922823</v>
      </c>
      <c r="AF80">
        <v>4536</v>
      </c>
      <c r="AG80">
        <v>4359</v>
      </c>
      <c r="AH80">
        <v>3440</v>
      </c>
      <c r="AI80">
        <v>4299</v>
      </c>
      <c r="AJ80">
        <v>4154</v>
      </c>
      <c r="AK80">
        <v>3985</v>
      </c>
      <c r="AL80">
        <v>3992</v>
      </c>
      <c r="AM80">
        <v>4157.6556706587598</v>
      </c>
      <c r="AN80">
        <v>4149</v>
      </c>
      <c r="AO80">
        <v>4107</v>
      </c>
      <c r="AP80">
        <v>4151</v>
      </c>
      <c r="AQ80">
        <v>3953</v>
      </c>
      <c r="AR80">
        <v>4004</v>
      </c>
      <c r="AS80">
        <v>4193</v>
      </c>
      <c r="AT80">
        <v>4133</v>
      </c>
      <c r="AU80">
        <v>4256</v>
      </c>
      <c r="AV80">
        <v>4106</v>
      </c>
      <c r="AW80">
        <v>4353</v>
      </c>
      <c r="AX80">
        <v>4098</v>
      </c>
      <c r="AY80">
        <v>4202.6574743681804</v>
      </c>
      <c r="AZ80">
        <v>4205.9814098878996</v>
      </c>
      <c r="BA80">
        <v>4222.4983327705004</v>
      </c>
      <c r="BB80">
        <v>4682.01628854519</v>
      </c>
      <c r="BC80">
        <v>4349.9014480763999</v>
      </c>
      <c r="BD80">
        <v>4208</v>
      </c>
      <c r="BE80">
        <v>3801</v>
      </c>
      <c r="BF80">
        <v>4095</v>
      </c>
      <c r="BG80">
        <v>4166</v>
      </c>
      <c r="BH80">
        <v>4340</v>
      </c>
      <c r="BI80">
        <v>4327</v>
      </c>
      <c r="BJ80">
        <v>4277.4991140402899</v>
      </c>
      <c r="BK80">
        <v>4296</v>
      </c>
      <c r="BL80">
        <v>4147</v>
      </c>
      <c r="BM80">
        <v>3437</v>
      </c>
      <c r="BN80">
        <v>4130</v>
      </c>
      <c r="BO80">
        <v>3982</v>
      </c>
      <c r="BP80">
        <v>3766</v>
      </c>
      <c r="BQ80">
        <v>3802</v>
      </c>
      <c r="BR80">
        <v>4150.7139405733296</v>
      </c>
      <c r="BS80">
        <v>4266</v>
      </c>
      <c r="BT80">
        <v>3991</v>
      </c>
      <c r="BU80">
        <v>4239</v>
      </c>
      <c r="BV80">
        <v>3972</v>
      </c>
      <c r="BW80">
        <v>3930</v>
      </c>
      <c r="BX80">
        <v>4069</v>
      </c>
      <c r="BY80">
        <v>3999</v>
      </c>
      <c r="BZ80">
        <v>3918</v>
      </c>
      <c r="CA80">
        <v>3693</v>
      </c>
      <c r="CB80">
        <v>4077</v>
      </c>
      <c r="CC80">
        <v>3710</v>
      </c>
      <c r="CD80">
        <v>4368</v>
      </c>
      <c r="CE80">
        <v>4365</v>
      </c>
      <c r="CF80">
        <v>4372</v>
      </c>
      <c r="CG80">
        <v>4148.7426288397901</v>
      </c>
      <c r="CH80">
        <v>4256.0202642364002</v>
      </c>
      <c r="CJ80" s="5" t="s">
        <v>111</v>
      </c>
      <c r="CK80" s="7">
        <v>4256.5286699319304</v>
      </c>
      <c r="CL80" s="7">
        <v>4735.4628451907101</v>
      </c>
      <c r="CM80" s="7">
        <v>4484</v>
      </c>
      <c r="CN80" s="7">
        <v>0</v>
      </c>
      <c r="CO80" s="7">
        <v>4040.9600403115801</v>
      </c>
      <c r="CP80" s="7">
        <v>4593</v>
      </c>
    </row>
    <row r="81" spans="4:94" x14ac:dyDescent="0.25">
      <c r="D81">
        <v>80</v>
      </c>
      <c r="E81" t="s">
        <v>109</v>
      </c>
      <c r="F81" s="3">
        <v>42057</v>
      </c>
      <c r="G81" t="s">
        <v>115</v>
      </c>
      <c r="H81" t="s">
        <v>48</v>
      </c>
      <c r="I81">
        <v>3991</v>
      </c>
      <c r="J81">
        <v>4632</v>
      </c>
      <c r="K81">
        <v>4380</v>
      </c>
      <c r="L81">
        <v>4786</v>
      </c>
      <c r="M81">
        <v>4090.8430369183702</v>
      </c>
      <c r="N81">
        <v>3956.3424658403501</v>
      </c>
      <c r="O81" t="s">
        <v>48</v>
      </c>
      <c r="P81" t="s">
        <v>48</v>
      </c>
      <c r="Q81" t="s">
        <v>48</v>
      </c>
      <c r="R81" t="s">
        <v>48</v>
      </c>
      <c r="S81">
        <v>4335</v>
      </c>
      <c r="T81">
        <v>4208</v>
      </c>
      <c r="U81">
        <v>3979</v>
      </c>
      <c r="V81">
        <v>4222</v>
      </c>
      <c r="W81">
        <v>4262</v>
      </c>
      <c r="X81">
        <v>4052</v>
      </c>
      <c r="Y81">
        <v>4277</v>
      </c>
      <c r="Z81">
        <v>3770</v>
      </c>
      <c r="AA81">
        <v>4174</v>
      </c>
      <c r="AB81">
        <v>4081</v>
      </c>
      <c r="AC81">
        <v>3825</v>
      </c>
      <c r="AD81">
        <v>3816</v>
      </c>
      <c r="AE81">
        <v>4407.09792922823</v>
      </c>
      <c r="AF81">
        <v>4517</v>
      </c>
      <c r="AG81">
        <v>4354</v>
      </c>
      <c r="AH81">
        <v>3438</v>
      </c>
      <c r="AI81">
        <v>4291</v>
      </c>
      <c r="AJ81">
        <v>4150</v>
      </c>
      <c r="AK81">
        <v>3980</v>
      </c>
      <c r="AL81">
        <v>3990</v>
      </c>
      <c r="AM81">
        <v>4134.3082696252304</v>
      </c>
      <c r="AN81">
        <v>4131</v>
      </c>
      <c r="AO81">
        <v>4107</v>
      </c>
      <c r="AP81">
        <v>4062</v>
      </c>
      <c r="AQ81">
        <v>3921</v>
      </c>
      <c r="AR81">
        <v>4004</v>
      </c>
      <c r="AS81">
        <v>4176</v>
      </c>
      <c r="AT81">
        <v>4105</v>
      </c>
      <c r="AU81">
        <v>4203</v>
      </c>
      <c r="AV81">
        <v>4001</v>
      </c>
      <c r="AW81">
        <v>4291</v>
      </c>
      <c r="AX81">
        <v>3978</v>
      </c>
      <c r="AY81">
        <v>4050.6574743681799</v>
      </c>
      <c r="AZ81">
        <v>4053.9814098879001</v>
      </c>
      <c r="BA81">
        <v>4070.4983327704999</v>
      </c>
      <c r="BB81">
        <v>4682.01628854519</v>
      </c>
      <c r="BC81">
        <v>4349.9014480763999</v>
      </c>
      <c r="BD81">
        <v>4208</v>
      </c>
      <c r="BE81">
        <v>3801</v>
      </c>
      <c r="BF81">
        <v>4091</v>
      </c>
      <c r="BG81">
        <v>4155</v>
      </c>
      <c r="BH81">
        <v>4340</v>
      </c>
      <c r="BI81">
        <v>4327</v>
      </c>
      <c r="BJ81">
        <v>4277.4991140402899</v>
      </c>
      <c r="BK81">
        <v>4254</v>
      </c>
      <c r="BL81">
        <v>4143</v>
      </c>
      <c r="BM81">
        <v>3434</v>
      </c>
      <c r="BN81">
        <v>4125</v>
      </c>
      <c r="BO81">
        <v>3980</v>
      </c>
      <c r="BP81">
        <v>3766</v>
      </c>
      <c r="BQ81">
        <v>3800</v>
      </c>
      <c r="BR81">
        <v>4121.7128618443103</v>
      </c>
      <c r="BS81">
        <v>4239</v>
      </c>
      <c r="BT81">
        <v>3991</v>
      </c>
      <c r="BU81">
        <v>4148</v>
      </c>
      <c r="BV81">
        <v>3940</v>
      </c>
      <c r="BW81">
        <v>3930</v>
      </c>
      <c r="BX81">
        <v>4051</v>
      </c>
      <c r="BY81">
        <v>3967</v>
      </c>
      <c r="BZ81">
        <v>3870</v>
      </c>
      <c r="CA81">
        <v>3598</v>
      </c>
      <c r="CB81">
        <v>4019</v>
      </c>
      <c r="CC81">
        <v>3601</v>
      </c>
      <c r="CD81">
        <v>4216</v>
      </c>
      <c r="CE81">
        <v>4213</v>
      </c>
      <c r="CF81">
        <v>4220</v>
      </c>
      <c r="CG81">
        <v>4148.7426288397901</v>
      </c>
      <c r="CH81">
        <v>4256.0202642364002</v>
      </c>
      <c r="CJ81" s="5" t="s">
        <v>112</v>
      </c>
      <c r="CK81" s="7">
        <v>4229.5556386041699</v>
      </c>
      <c r="CL81" s="7">
        <v>4682.01628854519</v>
      </c>
      <c r="CM81" s="7">
        <v>4556</v>
      </c>
      <c r="CN81" s="7">
        <v>0</v>
      </c>
      <c r="CO81" s="7">
        <v>4047.3559320070199</v>
      </c>
      <c r="CP81" s="7">
        <v>4632</v>
      </c>
    </row>
    <row r="82" spans="4:94" x14ac:dyDescent="0.25">
      <c r="D82">
        <v>81</v>
      </c>
      <c r="E82" t="s">
        <v>109</v>
      </c>
      <c r="F82" s="3">
        <v>42057</v>
      </c>
      <c r="G82" t="s">
        <v>116</v>
      </c>
      <c r="H82" t="s">
        <v>48</v>
      </c>
      <c r="I82">
        <v>3742</v>
      </c>
      <c r="J82">
        <v>4613</v>
      </c>
      <c r="K82">
        <v>4079</v>
      </c>
      <c r="L82">
        <v>4089</v>
      </c>
      <c r="M82">
        <v>4015.5293540933399</v>
      </c>
      <c r="N82">
        <v>3845.84638197511</v>
      </c>
      <c r="O82" t="s">
        <v>48</v>
      </c>
      <c r="P82" t="s">
        <v>48</v>
      </c>
      <c r="Q82" t="s">
        <v>48</v>
      </c>
      <c r="R82" t="s">
        <v>48</v>
      </c>
      <c r="S82">
        <v>4084</v>
      </c>
      <c r="T82">
        <v>3937</v>
      </c>
      <c r="U82">
        <v>3790</v>
      </c>
      <c r="V82">
        <v>3966</v>
      </c>
      <c r="W82">
        <v>4063</v>
      </c>
      <c r="X82">
        <v>3866</v>
      </c>
      <c r="Y82">
        <v>4331</v>
      </c>
      <c r="Z82">
        <v>3686</v>
      </c>
      <c r="AA82">
        <v>4211</v>
      </c>
      <c r="AB82">
        <v>4273</v>
      </c>
      <c r="AC82">
        <v>3842</v>
      </c>
      <c r="AD82">
        <v>3840</v>
      </c>
      <c r="AE82">
        <v>4417.5197136011602</v>
      </c>
      <c r="AF82">
        <v>4563</v>
      </c>
      <c r="AG82">
        <v>4526</v>
      </c>
      <c r="AH82">
        <v>3360</v>
      </c>
      <c r="AI82">
        <v>4421</v>
      </c>
      <c r="AJ82">
        <v>4423</v>
      </c>
      <c r="AK82">
        <v>4057</v>
      </c>
      <c r="AL82">
        <v>4042</v>
      </c>
      <c r="AM82">
        <v>4132.7787499769902</v>
      </c>
      <c r="AN82">
        <v>4109</v>
      </c>
      <c r="AO82">
        <v>4130</v>
      </c>
      <c r="AP82">
        <v>4162</v>
      </c>
      <c r="AQ82">
        <v>3870</v>
      </c>
      <c r="AR82">
        <v>4141</v>
      </c>
      <c r="AS82">
        <v>4163</v>
      </c>
      <c r="AT82">
        <v>4077</v>
      </c>
      <c r="AU82">
        <v>4112</v>
      </c>
      <c r="AV82">
        <v>3734</v>
      </c>
      <c r="AW82">
        <v>4149</v>
      </c>
      <c r="AX82">
        <v>3770</v>
      </c>
      <c r="AY82">
        <v>3828.5450899457401</v>
      </c>
      <c r="AZ82">
        <v>3819.49940293191</v>
      </c>
      <c r="BA82">
        <v>3855.9645340680299</v>
      </c>
      <c r="BB82">
        <v>4581.1826210770596</v>
      </c>
      <c r="BC82">
        <v>4394.6813664238998</v>
      </c>
      <c r="BD82">
        <v>4244</v>
      </c>
      <c r="BE82">
        <v>3702</v>
      </c>
      <c r="BF82">
        <v>4150</v>
      </c>
      <c r="BG82">
        <v>4304</v>
      </c>
      <c r="BH82">
        <v>4333</v>
      </c>
      <c r="BI82">
        <v>4287</v>
      </c>
      <c r="BJ82">
        <v>4241.5968187210701</v>
      </c>
      <c r="BK82">
        <v>4294</v>
      </c>
      <c r="BL82">
        <v>3903</v>
      </c>
      <c r="BM82">
        <v>3387</v>
      </c>
      <c r="BN82">
        <v>3923</v>
      </c>
      <c r="BO82">
        <v>3918</v>
      </c>
      <c r="BP82">
        <v>3690</v>
      </c>
      <c r="BQ82">
        <v>3728</v>
      </c>
      <c r="BR82">
        <v>3975.70001460412</v>
      </c>
      <c r="BS82">
        <v>4059</v>
      </c>
      <c r="BT82">
        <v>3818</v>
      </c>
      <c r="BU82">
        <v>3966</v>
      </c>
      <c r="BV82">
        <v>3797</v>
      </c>
      <c r="BW82">
        <v>3871</v>
      </c>
      <c r="BX82">
        <v>3916</v>
      </c>
      <c r="BY82">
        <v>3793</v>
      </c>
      <c r="BZ82">
        <v>3694</v>
      </c>
      <c r="CA82">
        <v>3441</v>
      </c>
      <c r="CB82">
        <v>3800</v>
      </c>
      <c r="CC82">
        <v>3398</v>
      </c>
      <c r="CD82">
        <v>4011</v>
      </c>
      <c r="CE82">
        <v>4006</v>
      </c>
      <c r="CF82">
        <v>4030</v>
      </c>
      <c r="CG82">
        <v>3903.7446808545201</v>
      </c>
      <c r="CH82">
        <v>3928.8840643526501</v>
      </c>
      <c r="CJ82" s="5" t="s">
        <v>113</v>
      </c>
      <c r="CK82" s="7">
        <v>4274.9543793046796</v>
      </c>
      <c r="CL82" s="7">
        <v>4682.01628854519</v>
      </c>
      <c r="CM82" s="7">
        <v>4531</v>
      </c>
      <c r="CN82" s="7">
        <v>0</v>
      </c>
      <c r="CO82" s="7">
        <v>4079.46251869752</v>
      </c>
      <c r="CP82" s="7">
        <v>4632</v>
      </c>
    </row>
    <row r="83" spans="4:94" x14ac:dyDescent="0.25">
      <c r="D83">
        <v>82</v>
      </c>
      <c r="E83" t="s">
        <v>109</v>
      </c>
      <c r="F83" s="3">
        <v>42057</v>
      </c>
      <c r="G83" t="s">
        <v>117</v>
      </c>
      <c r="H83" t="s">
        <v>48</v>
      </c>
      <c r="I83">
        <v>3644</v>
      </c>
      <c r="J83">
        <v>4613</v>
      </c>
      <c r="K83">
        <v>4000</v>
      </c>
      <c r="L83">
        <v>4021</v>
      </c>
      <c r="M83">
        <v>3923.9390696027699</v>
      </c>
      <c r="N83">
        <v>3802.0713374872898</v>
      </c>
      <c r="O83" t="s">
        <v>48</v>
      </c>
      <c r="P83" t="s">
        <v>48</v>
      </c>
      <c r="Q83" t="s">
        <v>48</v>
      </c>
      <c r="R83" t="s">
        <v>48</v>
      </c>
      <c r="S83">
        <v>3985</v>
      </c>
      <c r="T83">
        <v>3833</v>
      </c>
      <c r="U83">
        <v>3682</v>
      </c>
      <c r="V83">
        <v>3854</v>
      </c>
      <c r="W83">
        <v>3880</v>
      </c>
      <c r="X83">
        <v>3848</v>
      </c>
      <c r="Y83">
        <v>4292</v>
      </c>
      <c r="Z83">
        <v>3671</v>
      </c>
      <c r="AA83">
        <v>4177</v>
      </c>
      <c r="AB83">
        <v>4259</v>
      </c>
      <c r="AC83">
        <v>3842</v>
      </c>
      <c r="AD83">
        <v>3840</v>
      </c>
      <c r="AE83">
        <v>4107.0860501053803</v>
      </c>
      <c r="AF83">
        <v>4163</v>
      </c>
      <c r="AG83">
        <v>4518</v>
      </c>
      <c r="AH83">
        <v>3355</v>
      </c>
      <c r="AI83">
        <v>4400</v>
      </c>
      <c r="AJ83">
        <v>4410</v>
      </c>
      <c r="AK83">
        <v>4053</v>
      </c>
      <c r="AL83">
        <v>4037</v>
      </c>
      <c r="AM83">
        <v>3901.2641021773902</v>
      </c>
      <c r="AN83">
        <v>3907</v>
      </c>
      <c r="AO83">
        <v>4130</v>
      </c>
      <c r="AP83">
        <v>3941</v>
      </c>
      <c r="AQ83">
        <v>3607</v>
      </c>
      <c r="AR83">
        <v>4141</v>
      </c>
      <c r="AS83">
        <v>4074</v>
      </c>
      <c r="AT83">
        <v>3895</v>
      </c>
      <c r="AU83">
        <v>4094</v>
      </c>
      <c r="AV83">
        <v>3683</v>
      </c>
      <c r="AW83">
        <v>4123</v>
      </c>
      <c r="AX83">
        <v>3706</v>
      </c>
      <c r="AY83">
        <v>3720.5450899457401</v>
      </c>
      <c r="AZ83">
        <v>3711.49940293191</v>
      </c>
      <c r="BA83">
        <v>3747.9645340680299</v>
      </c>
      <c r="BB83">
        <v>4581.1826210770596</v>
      </c>
      <c r="BC83">
        <v>4394.6813664238998</v>
      </c>
      <c r="BD83">
        <v>4205</v>
      </c>
      <c r="BE83">
        <v>3686</v>
      </c>
      <c r="BF83">
        <v>4077</v>
      </c>
      <c r="BG83">
        <v>4251</v>
      </c>
      <c r="BH83">
        <v>4328</v>
      </c>
      <c r="BI83">
        <v>4287</v>
      </c>
      <c r="BJ83">
        <v>3966.0220606412599</v>
      </c>
      <c r="BK83">
        <v>3976</v>
      </c>
      <c r="BL83">
        <v>3888</v>
      </c>
      <c r="BM83">
        <v>3377</v>
      </c>
      <c r="BN83">
        <v>3892</v>
      </c>
      <c r="BO83">
        <v>3909</v>
      </c>
      <c r="BP83">
        <v>3686</v>
      </c>
      <c r="BQ83">
        <v>3722</v>
      </c>
      <c r="BR83">
        <v>3736.7173026638302</v>
      </c>
      <c r="BS83">
        <v>3749</v>
      </c>
      <c r="BT83">
        <v>3818</v>
      </c>
      <c r="BU83">
        <v>3838</v>
      </c>
      <c r="BV83">
        <v>3578</v>
      </c>
      <c r="BW83">
        <v>3871</v>
      </c>
      <c r="BX83">
        <v>3788</v>
      </c>
      <c r="BY83">
        <v>3655</v>
      </c>
      <c r="BZ83">
        <v>3678</v>
      </c>
      <c r="CA83">
        <v>3393</v>
      </c>
      <c r="CB83">
        <v>3777</v>
      </c>
      <c r="CC83">
        <v>3340</v>
      </c>
      <c r="CD83">
        <v>3903</v>
      </c>
      <c r="CE83">
        <v>3898</v>
      </c>
      <c r="CF83">
        <v>3922</v>
      </c>
      <c r="CG83">
        <v>3903.7446808545201</v>
      </c>
      <c r="CH83">
        <v>3928.8840643526501</v>
      </c>
      <c r="CJ83" s="5" t="s">
        <v>114</v>
      </c>
      <c r="CK83" s="7">
        <v>4148.0986378310899</v>
      </c>
      <c r="CL83" s="7">
        <v>4682.01628854519</v>
      </c>
      <c r="CM83" s="7">
        <v>4388</v>
      </c>
      <c r="CN83" s="7">
        <v>0</v>
      </c>
      <c r="CO83" s="7">
        <v>4035.4275440051701</v>
      </c>
      <c r="CP83" s="7">
        <v>4632</v>
      </c>
    </row>
    <row r="84" spans="4:94" x14ac:dyDescent="0.25">
      <c r="D84">
        <v>83</v>
      </c>
      <c r="E84" t="s">
        <v>109</v>
      </c>
      <c r="F84" s="3">
        <v>42057</v>
      </c>
      <c r="G84" t="s">
        <v>118</v>
      </c>
      <c r="H84" t="s">
        <v>48</v>
      </c>
      <c r="I84">
        <v>3581</v>
      </c>
      <c r="J84">
        <v>4613</v>
      </c>
      <c r="K84">
        <v>3957</v>
      </c>
      <c r="L84">
        <v>4007</v>
      </c>
      <c r="M84">
        <v>3894.6249711955302</v>
      </c>
      <c r="N84">
        <v>3740.6412311189902</v>
      </c>
      <c r="O84" t="s">
        <v>48</v>
      </c>
      <c r="P84" t="s">
        <v>48</v>
      </c>
      <c r="Q84" t="s">
        <v>48</v>
      </c>
      <c r="R84" t="s">
        <v>48</v>
      </c>
      <c r="S84">
        <v>3932</v>
      </c>
      <c r="T84">
        <v>3777</v>
      </c>
      <c r="U84">
        <v>3662</v>
      </c>
      <c r="V84">
        <v>3913</v>
      </c>
      <c r="W84">
        <v>3921</v>
      </c>
      <c r="X84">
        <v>3672</v>
      </c>
      <c r="Y84">
        <v>4238</v>
      </c>
      <c r="Z84">
        <v>3648</v>
      </c>
      <c r="AA84">
        <v>4112</v>
      </c>
      <c r="AB84">
        <v>4154</v>
      </c>
      <c r="AC84">
        <v>3829</v>
      </c>
      <c r="AD84">
        <v>3829</v>
      </c>
      <c r="AE84">
        <v>4116.8824083236896</v>
      </c>
      <c r="AF84">
        <v>4155</v>
      </c>
      <c r="AG84">
        <v>4493</v>
      </c>
      <c r="AH84">
        <v>3346</v>
      </c>
      <c r="AI84">
        <v>4378</v>
      </c>
      <c r="AJ84">
        <v>4388</v>
      </c>
      <c r="AK84">
        <v>4046</v>
      </c>
      <c r="AL84">
        <v>4023</v>
      </c>
      <c r="AM84">
        <v>3881.3636966376798</v>
      </c>
      <c r="AN84">
        <v>3884</v>
      </c>
      <c r="AO84">
        <v>4130</v>
      </c>
      <c r="AP84">
        <v>3931</v>
      </c>
      <c r="AQ84">
        <v>3569</v>
      </c>
      <c r="AR84">
        <v>4141</v>
      </c>
      <c r="AS84">
        <v>4022</v>
      </c>
      <c r="AT84">
        <v>3855</v>
      </c>
      <c r="AU84">
        <v>4084</v>
      </c>
      <c r="AV84">
        <v>3653</v>
      </c>
      <c r="AW84">
        <v>4108</v>
      </c>
      <c r="AX84">
        <v>3668</v>
      </c>
      <c r="AY84">
        <v>3700.5450899457401</v>
      </c>
      <c r="AZ84">
        <v>3691.49940293191</v>
      </c>
      <c r="BA84">
        <v>3727.9645340680299</v>
      </c>
      <c r="BB84">
        <v>4581.1826210770596</v>
      </c>
      <c r="BC84">
        <v>4394.6813664238998</v>
      </c>
      <c r="BD84">
        <v>4139</v>
      </c>
      <c r="BE84">
        <v>3648</v>
      </c>
      <c r="BF84">
        <v>3986</v>
      </c>
      <c r="BG84">
        <v>4192</v>
      </c>
      <c r="BH84">
        <v>4319</v>
      </c>
      <c r="BI84">
        <v>4276</v>
      </c>
      <c r="BJ84">
        <v>3975.4819483411402</v>
      </c>
      <c r="BK84">
        <v>3969</v>
      </c>
      <c r="BL84">
        <v>3848</v>
      </c>
      <c r="BM84">
        <v>3355</v>
      </c>
      <c r="BN84">
        <v>3850</v>
      </c>
      <c r="BO84">
        <v>3880</v>
      </c>
      <c r="BP84">
        <v>3665</v>
      </c>
      <c r="BQ84">
        <v>3694</v>
      </c>
      <c r="BR84">
        <v>3707.48972390069</v>
      </c>
      <c r="BS84">
        <v>3721</v>
      </c>
      <c r="BT84">
        <v>3818</v>
      </c>
      <c r="BU84">
        <v>3833</v>
      </c>
      <c r="BV84">
        <v>3568</v>
      </c>
      <c r="BW84">
        <v>3871</v>
      </c>
      <c r="BX84">
        <v>3754</v>
      </c>
      <c r="BY84">
        <v>3627</v>
      </c>
      <c r="BZ84">
        <v>3669</v>
      </c>
      <c r="CA84">
        <v>3365</v>
      </c>
      <c r="CB84">
        <v>3762</v>
      </c>
      <c r="CC84">
        <v>3306</v>
      </c>
      <c r="CD84">
        <v>3883</v>
      </c>
      <c r="CE84">
        <v>3878</v>
      </c>
      <c r="CF84">
        <v>3902</v>
      </c>
      <c r="CG84">
        <v>3903.7446808545201</v>
      </c>
      <c r="CH84">
        <v>3928.8840643526501</v>
      </c>
      <c r="CJ84" s="5" t="s">
        <v>115</v>
      </c>
      <c r="CK84" s="7">
        <v>4090.8430369183702</v>
      </c>
      <c r="CL84" s="7">
        <v>4682.01628854519</v>
      </c>
      <c r="CM84" s="7">
        <v>4262</v>
      </c>
      <c r="CN84" s="7">
        <v>0</v>
      </c>
      <c r="CO84" s="7">
        <v>3956.3424658403501</v>
      </c>
      <c r="CP84" s="7">
        <v>4632</v>
      </c>
    </row>
    <row r="85" spans="4:94" x14ac:dyDescent="0.25">
      <c r="D85">
        <v>84</v>
      </c>
      <c r="E85" t="s">
        <v>109</v>
      </c>
      <c r="F85" s="3">
        <v>42057</v>
      </c>
      <c r="G85" t="s">
        <v>119</v>
      </c>
      <c r="H85" t="s">
        <v>48</v>
      </c>
      <c r="I85">
        <v>3528</v>
      </c>
      <c r="J85">
        <v>3895</v>
      </c>
      <c r="K85">
        <v>3874</v>
      </c>
      <c r="L85">
        <v>3946</v>
      </c>
      <c r="M85">
        <v>3748.9723808614999</v>
      </c>
      <c r="N85">
        <v>3674.6074029198298</v>
      </c>
      <c r="O85" t="s">
        <v>48</v>
      </c>
      <c r="P85" t="s">
        <v>48</v>
      </c>
      <c r="Q85" t="s">
        <v>48</v>
      </c>
      <c r="R85" t="s">
        <v>48</v>
      </c>
      <c r="S85">
        <v>3740</v>
      </c>
      <c r="T85">
        <v>3596</v>
      </c>
      <c r="U85">
        <v>3456</v>
      </c>
      <c r="V85">
        <v>3709</v>
      </c>
      <c r="W85">
        <v>3717</v>
      </c>
      <c r="X85">
        <v>3514</v>
      </c>
      <c r="Y85">
        <v>4116</v>
      </c>
      <c r="Z85">
        <v>3621</v>
      </c>
      <c r="AA85">
        <v>3993</v>
      </c>
      <c r="AB85">
        <v>3992</v>
      </c>
      <c r="AC85">
        <v>3827</v>
      </c>
      <c r="AD85">
        <v>3826</v>
      </c>
      <c r="AE85">
        <v>3741.1934687558</v>
      </c>
      <c r="AF85">
        <v>3851</v>
      </c>
      <c r="AG85">
        <v>4459</v>
      </c>
      <c r="AH85">
        <v>3336</v>
      </c>
      <c r="AI85">
        <v>4327</v>
      </c>
      <c r="AJ85">
        <v>4328</v>
      </c>
      <c r="AK85">
        <v>4034</v>
      </c>
      <c r="AL85">
        <v>4008</v>
      </c>
      <c r="AM85">
        <v>3832.9315273193201</v>
      </c>
      <c r="AN85">
        <v>3843</v>
      </c>
      <c r="AO85">
        <v>4130</v>
      </c>
      <c r="AP85">
        <v>3571</v>
      </c>
      <c r="AQ85">
        <v>3220</v>
      </c>
      <c r="AR85">
        <v>4141</v>
      </c>
      <c r="AS85">
        <v>3973</v>
      </c>
      <c r="AT85">
        <v>3774</v>
      </c>
      <c r="AU85">
        <v>3807</v>
      </c>
      <c r="AV85">
        <v>3420</v>
      </c>
      <c r="AW85">
        <v>3856</v>
      </c>
      <c r="AX85">
        <v>3475</v>
      </c>
      <c r="AY85">
        <v>3494.5450899457401</v>
      </c>
      <c r="AZ85">
        <v>3485.49940293191</v>
      </c>
      <c r="BA85">
        <v>3521.9645340680299</v>
      </c>
      <c r="BB85">
        <v>4581.1826210770596</v>
      </c>
      <c r="BC85">
        <v>4394.6813664238998</v>
      </c>
      <c r="BD85">
        <v>3921</v>
      </c>
      <c r="BE85">
        <v>3616</v>
      </c>
      <c r="BF85">
        <v>3788</v>
      </c>
      <c r="BG85">
        <v>3984</v>
      </c>
      <c r="BH85">
        <v>4312</v>
      </c>
      <c r="BI85">
        <v>4271</v>
      </c>
      <c r="BJ85">
        <v>3657.3997182416001</v>
      </c>
      <c r="BK85">
        <v>3624</v>
      </c>
      <c r="BL85">
        <v>3793</v>
      </c>
      <c r="BM85">
        <v>3345</v>
      </c>
      <c r="BN85">
        <v>3810</v>
      </c>
      <c r="BO85">
        <v>3843</v>
      </c>
      <c r="BP85">
        <v>3644</v>
      </c>
      <c r="BQ85">
        <v>3667</v>
      </c>
      <c r="BR85">
        <v>3570.0813735236902</v>
      </c>
      <c r="BS85">
        <v>3585</v>
      </c>
      <c r="BT85">
        <v>3818</v>
      </c>
      <c r="BU85">
        <v>3482</v>
      </c>
      <c r="BV85">
        <v>3280</v>
      </c>
      <c r="BW85">
        <v>3871</v>
      </c>
      <c r="BX85">
        <v>3692</v>
      </c>
      <c r="BY85">
        <v>3552</v>
      </c>
      <c r="BZ85">
        <v>3420</v>
      </c>
      <c r="CA85">
        <v>3151</v>
      </c>
      <c r="CB85">
        <v>3531</v>
      </c>
      <c r="CC85">
        <v>3132</v>
      </c>
      <c r="CD85">
        <v>3677</v>
      </c>
      <c r="CE85">
        <v>3672</v>
      </c>
      <c r="CF85">
        <v>3696</v>
      </c>
      <c r="CG85">
        <v>3903.7446808545201</v>
      </c>
      <c r="CH85">
        <v>3928.8840643526501</v>
      </c>
      <c r="CJ85" s="5" t="s">
        <v>116</v>
      </c>
      <c r="CK85" s="7">
        <v>4015.5293540933399</v>
      </c>
      <c r="CL85" s="7">
        <v>4581.1826210770596</v>
      </c>
      <c r="CM85" s="7">
        <v>4063</v>
      </c>
      <c r="CN85" s="7">
        <v>0</v>
      </c>
      <c r="CO85" s="7">
        <v>3845.84638197511</v>
      </c>
      <c r="CP85" s="7">
        <v>4613</v>
      </c>
    </row>
    <row r="86" spans="4:94" x14ac:dyDescent="0.25">
      <c r="D86">
        <v>85</v>
      </c>
      <c r="E86" t="s">
        <v>109</v>
      </c>
      <c r="F86" s="3">
        <v>42057</v>
      </c>
      <c r="G86" t="s">
        <v>120</v>
      </c>
      <c r="H86" t="s">
        <v>48</v>
      </c>
      <c r="I86">
        <v>3399</v>
      </c>
      <c r="J86">
        <v>3364</v>
      </c>
      <c r="K86">
        <v>3659</v>
      </c>
      <c r="L86">
        <v>3628</v>
      </c>
      <c r="M86">
        <v>3532.7811755576899</v>
      </c>
      <c r="N86">
        <v>3473.4275727889399</v>
      </c>
      <c r="O86" t="s">
        <v>48</v>
      </c>
      <c r="P86" t="s">
        <v>48</v>
      </c>
      <c r="Q86" t="s">
        <v>48</v>
      </c>
      <c r="R86" t="s">
        <v>48</v>
      </c>
      <c r="S86">
        <v>3470</v>
      </c>
      <c r="T86">
        <v>3319</v>
      </c>
      <c r="U86">
        <v>3249</v>
      </c>
      <c r="V86">
        <v>3479</v>
      </c>
      <c r="W86">
        <v>3490</v>
      </c>
      <c r="X86">
        <v>3317</v>
      </c>
      <c r="Y86">
        <v>4059</v>
      </c>
      <c r="Z86">
        <v>3567</v>
      </c>
      <c r="AA86">
        <v>4006</v>
      </c>
      <c r="AB86">
        <v>4044</v>
      </c>
      <c r="AC86">
        <v>3864</v>
      </c>
      <c r="AD86">
        <v>3836</v>
      </c>
      <c r="AE86">
        <v>3553.1169261712398</v>
      </c>
      <c r="AF86">
        <v>3541</v>
      </c>
      <c r="AG86">
        <v>4308</v>
      </c>
      <c r="AH86">
        <v>3383</v>
      </c>
      <c r="AI86">
        <v>4247</v>
      </c>
      <c r="AJ86">
        <v>4364</v>
      </c>
      <c r="AK86">
        <v>4058</v>
      </c>
      <c r="AL86">
        <v>4062</v>
      </c>
      <c r="AM86">
        <v>3646.2254306555001</v>
      </c>
      <c r="AN86">
        <v>3660</v>
      </c>
      <c r="AO86">
        <v>4169</v>
      </c>
      <c r="AP86">
        <v>3457</v>
      </c>
      <c r="AQ86">
        <v>2971</v>
      </c>
      <c r="AR86">
        <v>4212</v>
      </c>
      <c r="AS86">
        <v>3879</v>
      </c>
      <c r="AT86">
        <v>3679</v>
      </c>
      <c r="AU86">
        <v>3430</v>
      </c>
      <c r="AV86">
        <v>3002</v>
      </c>
      <c r="AW86">
        <v>3471</v>
      </c>
      <c r="AX86">
        <v>3097</v>
      </c>
      <c r="AY86">
        <v>3245.0592861452801</v>
      </c>
      <c r="AZ86">
        <v>3239.5340089484798</v>
      </c>
      <c r="BA86">
        <v>3249.4379467013</v>
      </c>
      <c r="BB86">
        <v>4408.3859457236904</v>
      </c>
      <c r="BC86">
        <v>4478.5573795274604</v>
      </c>
      <c r="BD86">
        <v>3760</v>
      </c>
      <c r="BE86">
        <v>3565</v>
      </c>
      <c r="BF86">
        <v>3733</v>
      </c>
      <c r="BG86">
        <v>3846</v>
      </c>
      <c r="BH86">
        <v>4302</v>
      </c>
      <c r="BI86">
        <v>4220</v>
      </c>
      <c r="BJ86">
        <v>3236.3240169144001</v>
      </c>
      <c r="BK86">
        <v>3290</v>
      </c>
      <c r="BL86">
        <v>3641</v>
      </c>
      <c r="BM86">
        <v>3377</v>
      </c>
      <c r="BN86">
        <v>3683</v>
      </c>
      <c r="BO86">
        <v>3689</v>
      </c>
      <c r="BP86">
        <v>3560</v>
      </c>
      <c r="BQ86">
        <v>3542</v>
      </c>
      <c r="BR86">
        <v>3321.8997744624999</v>
      </c>
      <c r="BS86">
        <v>3327</v>
      </c>
      <c r="BT86">
        <v>3835</v>
      </c>
      <c r="BU86">
        <v>3278</v>
      </c>
      <c r="BV86">
        <v>3187</v>
      </c>
      <c r="BW86">
        <v>3827</v>
      </c>
      <c r="BX86">
        <v>3485</v>
      </c>
      <c r="BY86">
        <v>3230</v>
      </c>
      <c r="BZ86">
        <v>3083</v>
      </c>
      <c r="CA86">
        <v>2797</v>
      </c>
      <c r="CB86">
        <v>3213</v>
      </c>
      <c r="CC86">
        <v>2818</v>
      </c>
      <c r="CD86">
        <v>3436</v>
      </c>
      <c r="CE86">
        <v>3452</v>
      </c>
      <c r="CF86">
        <v>3462</v>
      </c>
      <c r="CG86">
        <v>3909.76450628166</v>
      </c>
      <c r="CH86">
        <v>3983.8709959543799</v>
      </c>
      <c r="CJ86" s="5" t="s">
        <v>117</v>
      </c>
      <c r="CK86" s="7">
        <v>3923.9390696027699</v>
      </c>
      <c r="CL86" s="7">
        <v>4581.1826210770596</v>
      </c>
      <c r="CM86" s="7">
        <v>3880</v>
      </c>
      <c r="CN86" s="7">
        <v>0</v>
      </c>
      <c r="CO86" s="7">
        <v>3802.0713374872898</v>
      </c>
      <c r="CP86" s="7">
        <v>4613</v>
      </c>
    </row>
    <row r="87" spans="4:94" x14ac:dyDescent="0.25">
      <c r="D87">
        <v>86</v>
      </c>
      <c r="E87" t="s">
        <v>109</v>
      </c>
      <c r="F87" s="3">
        <v>42057</v>
      </c>
      <c r="G87" t="s">
        <v>121</v>
      </c>
      <c r="H87" t="s">
        <v>48</v>
      </c>
      <c r="I87">
        <v>3316</v>
      </c>
      <c r="J87">
        <v>3192</v>
      </c>
      <c r="K87">
        <v>3519</v>
      </c>
      <c r="L87">
        <v>3560</v>
      </c>
      <c r="M87">
        <v>3420.6392304435499</v>
      </c>
      <c r="N87">
        <v>3451.1730291839699</v>
      </c>
      <c r="O87" t="s">
        <v>48</v>
      </c>
      <c r="P87" t="s">
        <v>48</v>
      </c>
      <c r="Q87" t="s">
        <v>48</v>
      </c>
      <c r="R87" t="s">
        <v>48</v>
      </c>
      <c r="S87">
        <v>3373</v>
      </c>
      <c r="T87">
        <v>3225</v>
      </c>
      <c r="U87">
        <v>3130</v>
      </c>
      <c r="V87">
        <v>3377</v>
      </c>
      <c r="W87">
        <v>3388</v>
      </c>
      <c r="X87">
        <v>3175</v>
      </c>
      <c r="Y87">
        <v>4059</v>
      </c>
      <c r="Z87">
        <v>3543</v>
      </c>
      <c r="AA87">
        <v>4006</v>
      </c>
      <c r="AB87">
        <v>4044</v>
      </c>
      <c r="AC87">
        <v>3864</v>
      </c>
      <c r="AD87">
        <v>3836</v>
      </c>
      <c r="AE87">
        <v>3539.1975884011499</v>
      </c>
      <c r="AF87">
        <v>3519</v>
      </c>
      <c r="AG87">
        <v>4303</v>
      </c>
      <c r="AH87">
        <v>3375</v>
      </c>
      <c r="AI87">
        <v>4239</v>
      </c>
      <c r="AJ87">
        <v>4364</v>
      </c>
      <c r="AK87">
        <v>4056</v>
      </c>
      <c r="AL87">
        <v>4059</v>
      </c>
      <c r="AM87">
        <v>3622.36956367115</v>
      </c>
      <c r="AN87">
        <v>3640</v>
      </c>
      <c r="AO87">
        <v>4169</v>
      </c>
      <c r="AP87">
        <v>3429</v>
      </c>
      <c r="AQ87">
        <v>2950</v>
      </c>
      <c r="AR87">
        <v>4212</v>
      </c>
      <c r="AS87">
        <v>3869</v>
      </c>
      <c r="AT87">
        <v>3658</v>
      </c>
      <c r="AU87">
        <v>3371</v>
      </c>
      <c r="AV87">
        <v>2914</v>
      </c>
      <c r="AW87">
        <v>3404</v>
      </c>
      <c r="AX87">
        <v>3007</v>
      </c>
      <c r="AY87">
        <v>3126.0592861452801</v>
      </c>
      <c r="AZ87">
        <v>3120.5340089484798</v>
      </c>
      <c r="BA87">
        <v>3130.4379467013</v>
      </c>
      <c r="BB87">
        <v>4408.3859457236904</v>
      </c>
      <c r="BC87">
        <v>4478.5573795274604</v>
      </c>
      <c r="BD87">
        <v>3760</v>
      </c>
      <c r="BE87">
        <v>3549</v>
      </c>
      <c r="BF87">
        <v>3733</v>
      </c>
      <c r="BG87">
        <v>3844</v>
      </c>
      <c r="BH87">
        <v>4302</v>
      </c>
      <c r="BI87">
        <v>4220</v>
      </c>
      <c r="BJ87">
        <v>3207.2452560111901</v>
      </c>
      <c r="BK87">
        <v>3269</v>
      </c>
      <c r="BL87">
        <v>3633</v>
      </c>
      <c r="BM87">
        <v>3368</v>
      </c>
      <c r="BN87">
        <v>3667</v>
      </c>
      <c r="BO87">
        <v>3673</v>
      </c>
      <c r="BP87">
        <v>3550</v>
      </c>
      <c r="BQ87">
        <v>3527</v>
      </c>
      <c r="BR87">
        <v>3291.8990773738401</v>
      </c>
      <c r="BS87">
        <v>3305</v>
      </c>
      <c r="BT87">
        <v>3835</v>
      </c>
      <c r="BU87">
        <v>3262</v>
      </c>
      <c r="BV87">
        <v>3164</v>
      </c>
      <c r="BW87">
        <v>3827</v>
      </c>
      <c r="BX87">
        <v>3468</v>
      </c>
      <c r="BY87">
        <v>3221</v>
      </c>
      <c r="BZ87">
        <v>3030</v>
      </c>
      <c r="CA87">
        <v>2714</v>
      </c>
      <c r="CB87">
        <v>3151</v>
      </c>
      <c r="CC87">
        <v>2736</v>
      </c>
      <c r="CD87">
        <v>3317</v>
      </c>
      <c r="CE87">
        <v>3333</v>
      </c>
      <c r="CF87">
        <v>3343</v>
      </c>
      <c r="CG87">
        <v>3909.76450628166</v>
      </c>
      <c r="CH87">
        <v>3983.8709959543799</v>
      </c>
      <c r="CJ87" s="5" t="s">
        <v>118</v>
      </c>
      <c r="CK87" s="7">
        <v>3894.6249711955302</v>
      </c>
      <c r="CL87" s="7">
        <v>4581.1826210770596</v>
      </c>
      <c r="CM87" s="7">
        <v>3921</v>
      </c>
      <c r="CN87" s="7">
        <v>0</v>
      </c>
      <c r="CO87" s="7">
        <v>3740.6412311189902</v>
      </c>
      <c r="CP87" s="7">
        <v>4613</v>
      </c>
    </row>
    <row r="88" spans="4:94" x14ac:dyDescent="0.25">
      <c r="D88">
        <v>87</v>
      </c>
      <c r="E88" t="s">
        <v>122</v>
      </c>
      <c r="F88" s="3">
        <v>42057</v>
      </c>
      <c r="G88" t="s">
        <v>123</v>
      </c>
      <c r="H88" t="s">
        <v>48</v>
      </c>
      <c r="I88">
        <v>3269</v>
      </c>
      <c r="J88">
        <v>3085</v>
      </c>
      <c r="K88">
        <v>3417</v>
      </c>
      <c r="L88">
        <v>3508</v>
      </c>
      <c r="M88">
        <v>3204.37776613284</v>
      </c>
      <c r="N88">
        <v>3384.8871148975099</v>
      </c>
      <c r="O88" t="s">
        <v>48</v>
      </c>
      <c r="P88" t="s">
        <v>48</v>
      </c>
      <c r="Q88" t="s">
        <v>48</v>
      </c>
      <c r="R88" t="s">
        <v>48</v>
      </c>
      <c r="S88">
        <v>3299</v>
      </c>
      <c r="T88">
        <v>3150</v>
      </c>
      <c r="U88">
        <v>3080</v>
      </c>
      <c r="V88">
        <v>3310</v>
      </c>
      <c r="W88">
        <v>3323</v>
      </c>
      <c r="X88">
        <v>3092</v>
      </c>
      <c r="Y88">
        <v>4059</v>
      </c>
      <c r="Z88">
        <v>3542</v>
      </c>
      <c r="AA88">
        <v>4006</v>
      </c>
      <c r="AB88">
        <v>4041</v>
      </c>
      <c r="AC88">
        <v>3864</v>
      </c>
      <c r="AD88">
        <v>3836</v>
      </c>
      <c r="AE88">
        <v>3539.1975884011499</v>
      </c>
      <c r="AF88">
        <v>3508</v>
      </c>
      <c r="AG88">
        <v>4301</v>
      </c>
      <c r="AH88">
        <v>3363</v>
      </c>
      <c r="AI88">
        <v>4234</v>
      </c>
      <c r="AJ88">
        <v>4364</v>
      </c>
      <c r="AK88">
        <v>4052</v>
      </c>
      <c r="AL88">
        <v>4055</v>
      </c>
      <c r="AM88">
        <v>3595.2932546007701</v>
      </c>
      <c r="AN88">
        <v>3628</v>
      </c>
      <c r="AO88">
        <v>4169</v>
      </c>
      <c r="AP88">
        <v>3398</v>
      </c>
      <c r="AQ88">
        <v>2950</v>
      </c>
      <c r="AR88">
        <v>4212</v>
      </c>
      <c r="AS88">
        <v>3866</v>
      </c>
      <c r="AT88">
        <v>3639</v>
      </c>
      <c r="AU88">
        <v>3341</v>
      </c>
      <c r="AV88">
        <v>2872</v>
      </c>
      <c r="AW88">
        <v>3368</v>
      </c>
      <c r="AX88">
        <v>2961</v>
      </c>
      <c r="AY88">
        <v>3076.0592861452801</v>
      </c>
      <c r="AZ88">
        <v>3070.5340089484798</v>
      </c>
      <c r="BA88">
        <v>3080.4379467013</v>
      </c>
      <c r="BB88">
        <v>2842.8247606641899</v>
      </c>
      <c r="BC88">
        <v>3199.9110990332501</v>
      </c>
      <c r="BD88">
        <v>3760</v>
      </c>
      <c r="BE88">
        <v>3543</v>
      </c>
      <c r="BF88">
        <v>3733</v>
      </c>
      <c r="BG88">
        <v>3844</v>
      </c>
      <c r="BH88">
        <v>4302</v>
      </c>
      <c r="BI88">
        <v>4220</v>
      </c>
      <c r="BJ88">
        <v>3207.2452560111901</v>
      </c>
      <c r="BK88">
        <v>3263</v>
      </c>
      <c r="BL88">
        <v>3620</v>
      </c>
      <c r="BM88">
        <v>3360</v>
      </c>
      <c r="BN88">
        <v>3660</v>
      </c>
      <c r="BO88">
        <v>3668</v>
      </c>
      <c r="BP88">
        <v>3538</v>
      </c>
      <c r="BQ88">
        <v>3509</v>
      </c>
      <c r="BR88">
        <v>3267.1560104076202</v>
      </c>
      <c r="BS88">
        <v>3283</v>
      </c>
      <c r="BT88">
        <v>3835</v>
      </c>
      <c r="BU88">
        <v>3232</v>
      </c>
      <c r="BV88">
        <v>3164</v>
      </c>
      <c r="BW88">
        <v>3827</v>
      </c>
      <c r="BX88">
        <v>3456</v>
      </c>
      <c r="BY88">
        <v>3212</v>
      </c>
      <c r="BZ88">
        <v>3003</v>
      </c>
      <c r="CA88">
        <v>2675</v>
      </c>
      <c r="CB88">
        <v>3118</v>
      </c>
      <c r="CC88">
        <v>2694</v>
      </c>
      <c r="CD88">
        <v>3267</v>
      </c>
      <c r="CE88">
        <v>3283</v>
      </c>
      <c r="CF88">
        <v>3293</v>
      </c>
      <c r="CG88">
        <v>3366.32088057798</v>
      </c>
      <c r="CH88">
        <v>3314.9940536855802</v>
      </c>
      <c r="CJ88" s="5" t="s">
        <v>119</v>
      </c>
      <c r="CK88" s="7">
        <v>3748.9723808614999</v>
      </c>
      <c r="CL88" s="7">
        <v>4581.1826210770596</v>
      </c>
      <c r="CM88" s="7">
        <v>3717</v>
      </c>
      <c r="CN88" s="7">
        <v>0</v>
      </c>
      <c r="CO88" s="7">
        <v>3674.6074029198298</v>
      </c>
      <c r="CP88" s="7">
        <v>3895</v>
      </c>
    </row>
    <row r="89" spans="4:94" x14ac:dyDescent="0.25">
      <c r="D89">
        <v>88</v>
      </c>
      <c r="E89" t="s">
        <v>122</v>
      </c>
      <c r="F89" s="3">
        <v>42057</v>
      </c>
      <c r="G89" t="s">
        <v>124</v>
      </c>
      <c r="H89" t="s">
        <v>48</v>
      </c>
      <c r="I89">
        <v>3201</v>
      </c>
      <c r="J89">
        <v>3072</v>
      </c>
      <c r="K89">
        <v>3373</v>
      </c>
      <c r="L89">
        <v>3522</v>
      </c>
      <c r="M89">
        <v>3201.0970315602599</v>
      </c>
      <c r="N89">
        <v>3364.6782489914599</v>
      </c>
      <c r="O89" t="s">
        <v>48</v>
      </c>
      <c r="P89" t="s">
        <v>48</v>
      </c>
      <c r="Q89" t="s">
        <v>48</v>
      </c>
      <c r="R89" t="s">
        <v>48</v>
      </c>
      <c r="S89">
        <v>3257</v>
      </c>
      <c r="T89">
        <v>3109</v>
      </c>
      <c r="U89">
        <v>3100</v>
      </c>
      <c r="V89">
        <v>3256</v>
      </c>
      <c r="W89">
        <v>3268</v>
      </c>
      <c r="X89">
        <v>3100</v>
      </c>
      <c r="Y89">
        <v>4059</v>
      </c>
      <c r="Z89">
        <v>3542</v>
      </c>
      <c r="AA89">
        <v>4006</v>
      </c>
      <c r="AB89">
        <v>4041</v>
      </c>
      <c r="AC89">
        <v>3864</v>
      </c>
      <c r="AD89">
        <v>3836</v>
      </c>
      <c r="AE89">
        <v>3539.1975884011499</v>
      </c>
      <c r="AF89">
        <v>3508</v>
      </c>
      <c r="AG89">
        <v>4301</v>
      </c>
      <c r="AH89">
        <v>3358</v>
      </c>
      <c r="AI89">
        <v>4234</v>
      </c>
      <c r="AJ89">
        <v>4364</v>
      </c>
      <c r="AK89">
        <v>4051</v>
      </c>
      <c r="AL89">
        <v>4054</v>
      </c>
      <c r="AM89">
        <v>3588.5077277429</v>
      </c>
      <c r="AN89">
        <v>3620</v>
      </c>
      <c r="AO89">
        <v>4169</v>
      </c>
      <c r="AP89">
        <v>3398</v>
      </c>
      <c r="AQ89">
        <v>2950</v>
      </c>
      <c r="AR89">
        <v>4212</v>
      </c>
      <c r="AS89">
        <v>3867</v>
      </c>
      <c r="AT89">
        <v>3645</v>
      </c>
      <c r="AU89">
        <v>3272</v>
      </c>
      <c r="AV89">
        <v>2831</v>
      </c>
      <c r="AW89">
        <v>3300</v>
      </c>
      <c r="AX89">
        <v>2917</v>
      </c>
      <c r="AY89">
        <v>3096.0592861452801</v>
      </c>
      <c r="AZ89">
        <v>3090.5340089484798</v>
      </c>
      <c r="BA89">
        <v>3100.4379467013</v>
      </c>
      <c r="BB89">
        <v>2842.8247606641899</v>
      </c>
      <c r="BC89">
        <v>3199.9110990332501</v>
      </c>
      <c r="BD89">
        <v>3760</v>
      </c>
      <c r="BE89">
        <v>3543</v>
      </c>
      <c r="BF89">
        <v>3733</v>
      </c>
      <c r="BG89">
        <v>3844</v>
      </c>
      <c r="BH89">
        <v>4302</v>
      </c>
      <c r="BI89">
        <v>4220</v>
      </c>
      <c r="BJ89">
        <v>3207.2452560111901</v>
      </c>
      <c r="BK89">
        <v>3263</v>
      </c>
      <c r="BL89">
        <v>3619</v>
      </c>
      <c r="BM89">
        <v>3356</v>
      </c>
      <c r="BN89">
        <v>3656</v>
      </c>
      <c r="BO89">
        <v>3666</v>
      </c>
      <c r="BP89">
        <v>3534</v>
      </c>
      <c r="BQ89">
        <v>3506</v>
      </c>
      <c r="BR89">
        <v>3257.8984725280802</v>
      </c>
      <c r="BS89">
        <v>3275</v>
      </c>
      <c r="BT89">
        <v>3835</v>
      </c>
      <c r="BU89">
        <v>3232</v>
      </c>
      <c r="BV89">
        <v>3164</v>
      </c>
      <c r="BW89">
        <v>3827</v>
      </c>
      <c r="BX89">
        <v>3453</v>
      </c>
      <c r="BY89">
        <v>3226</v>
      </c>
      <c r="BZ89">
        <v>2941</v>
      </c>
      <c r="CA89">
        <v>2637</v>
      </c>
      <c r="CB89">
        <v>3054</v>
      </c>
      <c r="CC89">
        <v>2655</v>
      </c>
      <c r="CD89">
        <v>3287</v>
      </c>
      <c r="CE89">
        <v>3303</v>
      </c>
      <c r="CF89">
        <v>3313</v>
      </c>
      <c r="CG89">
        <v>3366.32088057798</v>
      </c>
      <c r="CH89">
        <v>3314.9940536855802</v>
      </c>
      <c r="CJ89" s="5" t="s">
        <v>120</v>
      </c>
      <c r="CK89" s="7">
        <v>3532.7811755576899</v>
      </c>
      <c r="CL89" s="7">
        <v>4408.3859457236904</v>
      </c>
      <c r="CM89" s="7">
        <v>3490</v>
      </c>
      <c r="CN89" s="7">
        <v>0</v>
      </c>
      <c r="CO89" s="7">
        <v>3473.4275727889399</v>
      </c>
      <c r="CP89" s="7">
        <v>3364</v>
      </c>
    </row>
    <row r="90" spans="4:94" x14ac:dyDescent="0.25">
      <c r="D90">
        <v>89</v>
      </c>
      <c r="E90" t="s">
        <v>122</v>
      </c>
      <c r="F90" s="3">
        <v>42057</v>
      </c>
      <c r="G90" t="s">
        <v>125</v>
      </c>
      <c r="H90" t="s">
        <v>48</v>
      </c>
      <c r="I90">
        <v>3524</v>
      </c>
      <c r="J90">
        <v>3196</v>
      </c>
      <c r="K90">
        <v>3421</v>
      </c>
      <c r="L90">
        <v>3538</v>
      </c>
      <c r="M90">
        <v>3489.0333076584102</v>
      </c>
      <c r="N90">
        <v>3340.6995812002801</v>
      </c>
      <c r="O90" t="s">
        <v>48</v>
      </c>
      <c r="P90" t="s">
        <v>48</v>
      </c>
      <c r="Q90" t="s">
        <v>48</v>
      </c>
      <c r="R90" t="s">
        <v>48</v>
      </c>
      <c r="S90">
        <v>3402</v>
      </c>
      <c r="T90">
        <v>3240</v>
      </c>
      <c r="U90">
        <v>3306</v>
      </c>
      <c r="V90">
        <v>3492</v>
      </c>
      <c r="W90">
        <v>3511</v>
      </c>
      <c r="X90">
        <v>3188</v>
      </c>
      <c r="Y90">
        <v>4014</v>
      </c>
      <c r="Z90">
        <v>3537</v>
      </c>
      <c r="AA90">
        <v>3954</v>
      </c>
      <c r="AB90">
        <v>3943</v>
      </c>
      <c r="AC90">
        <v>4296</v>
      </c>
      <c r="AD90">
        <v>4264</v>
      </c>
      <c r="AE90">
        <v>3517.4745439272801</v>
      </c>
      <c r="AF90">
        <v>3518</v>
      </c>
      <c r="AG90">
        <v>4226</v>
      </c>
      <c r="AH90">
        <v>3366</v>
      </c>
      <c r="AI90">
        <v>4192</v>
      </c>
      <c r="AJ90">
        <v>4290</v>
      </c>
      <c r="AK90">
        <v>4324</v>
      </c>
      <c r="AL90">
        <v>4310</v>
      </c>
      <c r="AM90">
        <v>3626.3507791223301</v>
      </c>
      <c r="AN90">
        <v>3623</v>
      </c>
      <c r="AO90">
        <v>4204</v>
      </c>
      <c r="AP90">
        <v>3437</v>
      </c>
      <c r="AQ90">
        <v>2976</v>
      </c>
      <c r="AR90">
        <v>4228</v>
      </c>
      <c r="AS90">
        <v>3881</v>
      </c>
      <c r="AT90">
        <v>3657</v>
      </c>
      <c r="AU90">
        <v>3544</v>
      </c>
      <c r="AV90">
        <v>3041</v>
      </c>
      <c r="AW90">
        <v>3526</v>
      </c>
      <c r="AX90">
        <v>3196</v>
      </c>
      <c r="AY90">
        <v>3304.6186935045898</v>
      </c>
      <c r="AZ90">
        <v>3280.22173555573</v>
      </c>
      <c r="BA90">
        <v>3294.4321613164102</v>
      </c>
      <c r="BB90">
        <v>2905.0804179739598</v>
      </c>
      <c r="BC90">
        <v>3202.30742486298</v>
      </c>
      <c r="BD90">
        <v>3646</v>
      </c>
      <c r="BE90">
        <v>3542</v>
      </c>
      <c r="BF90">
        <v>3622</v>
      </c>
      <c r="BG90">
        <v>3803</v>
      </c>
      <c r="BH90">
        <v>4168</v>
      </c>
      <c r="BI90">
        <v>4137</v>
      </c>
      <c r="BJ90">
        <v>3233.25388187104</v>
      </c>
      <c r="BK90">
        <v>3376</v>
      </c>
      <c r="BL90">
        <v>3630</v>
      </c>
      <c r="BM90">
        <v>3378</v>
      </c>
      <c r="BN90">
        <v>3628</v>
      </c>
      <c r="BO90">
        <v>3577</v>
      </c>
      <c r="BP90">
        <v>3486</v>
      </c>
      <c r="BQ90">
        <v>3524</v>
      </c>
      <c r="BR90">
        <v>3357.50667016636</v>
      </c>
      <c r="BS90">
        <v>3347</v>
      </c>
      <c r="BT90">
        <v>3427</v>
      </c>
      <c r="BU90">
        <v>3247</v>
      </c>
      <c r="BV90">
        <v>3078</v>
      </c>
      <c r="BW90">
        <v>3706</v>
      </c>
      <c r="BX90">
        <v>3431</v>
      </c>
      <c r="BY90">
        <v>3193</v>
      </c>
      <c r="BZ90">
        <v>3196</v>
      </c>
      <c r="CA90">
        <v>2872</v>
      </c>
      <c r="CB90">
        <v>3303</v>
      </c>
      <c r="CC90">
        <v>2897</v>
      </c>
      <c r="CD90">
        <v>3449</v>
      </c>
      <c r="CE90">
        <v>3478</v>
      </c>
      <c r="CF90">
        <v>3499</v>
      </c>
      <c r="CG90">
        <v>3376.5053730643299</v>
      </c>
      <c r="CH90">
        <v>3299.4507131201399</v>
      </c>
      <c r="CJ90" s="5" t="s">
        <v>121</v>
      </c>
      <c r="CK90" s="7">
        <v>3420.6392304435499</v>
      </c>
      <c r="CL90" s="7">
        <v>4408.3859457236904</v>
      </c>
      <c r="CM90" s="7">
        <v>3388</v>
      </c>
      <c r="CN90" s="7">
        <v>0</v>
      </c>
      <c r="CO90" s="7">
        <v>3451.1730291839699</v>
      </c>
      <c r="CP90" s="7">
        <v>3192</v>
      </c>
    </row>
    <row r="91" spans="4:94" x14ac:dyDescent="0.25">
      <c r="D91">
        <v>90</v>
      </c>
      <c r="E91" t="s">
        <v>122</v>
      </c>
      <c r="F91" s="3">
        <v>42057</v>
      </c>
      <c r="G91" t="s">
        <v>126</v>
      </c>
      <c r="H91" t="s">
        <v>48</v>
      </c>
      <c r="I91">
        <v>3522</v>
      </c>
      <c r="J91">
        <v>3293</v>
      </c>
      <c r="K91">
        <v>3482</v>
      </c>
      <c r="L91">
        <v>3540</v>
      </c>
      <c r="M91">
        <v>3527.5197278759501</v>
      </c>
      <c r="N91">
        <v>3457.0231967261202</v>
      </c>
      <c r="O91" t="s">
        <v>48</v>
      </c>
      <c r="P91" t="s">
        <v>48</v>
      </c>
      <c r="Q91" t="s">
        <v>48</v>
      </c>
      <c r="R91" t="s">
        <v>48</v>
      </c>
      <c r="S91">
        <v>3436</v>
      </c>
      <c r="T91">
        <v>3274</v>
      </c>
      <c r="U91">
        <v>3342</v>
      </c>
      <c r="V91">
        <v>3515</v>
      </c>
      <c r="W91">
        <v>3532</v>
      </c>
      <c r="X91">
        <v>3258</v>
      </c>
      <c r="Y91">
        <v>4014</v>
      </c>
      <c r="Z91">
        <v>3537</v>
      </c>
      <c r="AA91">
        <v>3954</v>
      </c>
      <c r="AB91">
        <v>3943</v>
      </c>
      <c r="AC91">
        <v>4296</v>
      </c>
      <c r="AD91">
        <v>4264</v>
      </c>
      <c r="AE91">
        <v>3521.2853553120999</v>
      </c>
      <c r="AF91">
        <v>3521</v>
      </c>
      <c r="AG91">
        <v>4226</v>
      </c>
      <c r="AH91">
        <v>3367</v>
      </c>
      <c r="AI91">
        <v>4192</v>
      </c>
      <c r="AJ91">
        <v>4290</v>
      </c>
      <c r="AK91">
        <v>4324</v>
      </c>
      <c r="AL91">
        <v>4310</v>
      </c>
      <c r="AM91">
        <v>3632.2726215806101</v>
      </c>
      <c r="AN91">
        <v>3630</v>
      </c>
      <c r="AO91">
        <v>4204</v>
      </c>
      <c r="AP91">
        <v>3437</v>
      </c>
      <c r="AQ91">
        <v>2976</v>
      </c>
      <c r="AR91">
        <v>4228</v>
      </c>
      <c r="AS91">
        <v>3888</v>
      </c>
      <c r="AT91">
        <v>3663</v>
      </c>
      <c r="AU91">
        <v>3527</v>
      </c>
      <c r="AV91">
        <v>3055</v>
      </c>
      <c r="AW91">
        <v>3514</v>
      </c>
      <c r="AX91">
        <v>3210</v>
      </c>
      <c r="AY91">
        <v>3340.6186935045898</v>
      </c>
      <c r="AZ91">
        <v>3316.22173555573</v>
      </c>
      <c r="BA91">
        <v>3330.4321613164102</v>
      </c>
      <c r="BB91">
        <v>2905.0804179739598</v>
      </c>
      <c r="BC91">
        <v>3202.30742486298</v>
      </c>
      <c r="BD91">
        <v>3646</v>
      </c>
      <c r="BE91">
        <v>3542</v>
      </c>
      <c r="BF91">
        <v>3622</v>
      </c>
      <c r="BG91">
        <v>3803</v>
      </c>
      <c r="BH91">
        <v>4168</v>
      </c>
      <c r="BI91">
        <v>4137</v>
      </c>
      <c r="BJ91">
        <v>3236.75677024994</v>
      </c>
      <c r="BK91">
        <v>3379</v>
      </c>
      <c r="BL91">
        <v>3631</v>
      </c>
      <c r="BM91">
        <v>3379</v>
      </c>
      <c r="BN91">
        <v>3628</v>
      </c>
      <c r="BO91">
        <v>3577</v>
      </c>
      <c r="BP91">
        <v>3487</v>
      </c>
      <c r="BQ91">
        <v>3524</v>
      </c>
      <c r="BR91">
        <v>3361.3472812177502</v>
      </c>
      <c r="BS91">
        <v>3353</v>
      </c>
      <c r="BT91">
        <v>3427</v>
      </c>
      <c r="BU91">
        <v>3247</v>
      </c>
      <c r="BV91">
        <v>3078</v>
      </c>
      <c r="BW91">
        <v>3706</v>
      </c>
      <c r="BX91">
        <v>3439</v>
      </c>
      <c r="BY91">
        <v>3197</v>
      </c>
      <c r="BZ91">
        <v>3181</v>
      </c>
      <c r="CA91">
        <v>2885</v>
      </c>
      <c r="CB91">
        <v>3293</v>
      </c>
      <c r="CC91">
        <v>2910</v>
      </c>
      <c r="CD91">
        <v>3485</v>
      </c>
      <c r="CE91">
        <v>3514</v>
      </c>
      <c r="CF91">
        <v>3535</v>
      </c>
      <c r="CG91">
        <v>3376.5053730643299</v>
      </c>
      <c r="CH91">
        <v>3299.4507131201399</v>
      </c>
      <c r="CJ91" s="5" t="s">
        <v>123</v>
      </c>
      <c r="CK91" s="7">
        <v>3204.37776613284</v>
      </c>
      <c r="CL91" s="7">
        <v>2842.8247606641899</v>
      </c>
      <c r="CM91" s="7">
        <v>3323</v>
      </c>
      <c r="CN91" s="7">
        <v>0</v>
      </c>
      <c r="CO91" s="7">
        <v>3384.8871148975099</v>
      </c>
      <c r="CP91" s="7">
        <v>3085</v>
      </c>
    </row>
    <row r="92" spans="4:94" x14ac:dyDescent="0.25">
      <c r="D92">
        <v>91</v>
      </c>
      <c r="E92" t="s">
        <v>122</v>
      </c>
      <c r="F92" s="3">
        <v>42057</v>
      </c>
      <c r="G92" t="s">
        <v>127</v>
      </c>
      <c r="H92" t="s">
        <v>48</v>
      </c>
      <c r="I92">
        <v>3439</v>
      </c>
      <c r="J92">
        <v>3251</v>
      </c>
      <c r="K92">
        <v>3475</v>
      </c>
      <c r="L92">
        <v>3603</v>
      </c>
      <c r="M92">
        <v>3485.9611033224101</v>
      </c>
      <c r="N92">
        <v>3411.7517602470198</v>
      </c>
      <c r="O92" t="s">
        <v>48</v>
      </c>
      <c r="P92" t="s">
        <v>48</v>
      </c>
      <c r="Q92" t="s">
        <v>48</v>
      </c>
      <c r="R92" t="s">
        <v>48</v>
      </c>
      <c r="S92">
        <v>3408</v>
      </c>
      <c r="T92">
        <v>3248</v>
      </c>
      <c r="U92">
        <v>3312</v>
      </c>
      <c r="V92">
        <v>3457</v>
      </c>
      <c r="W92">
        <v>3470</v>
      </c>
      <c r="X92">
        <v>3334</v>
      </c>
      <c r="Y92">
        <v>4014</v>
      </c>
      <c r="Z92">
        <v>3537</v>
      </c>
      <c r="AA92">
        <v>3954</v>
      </c>
      <c r="AB92">
        <v>3943</v>
      </c>
      <c r="AC92">
        <v>4296</v>
      </c>
      <c r="AD92">
        <v>4264</v>
      </c>
      <c r="AE92">
        <v>3515.9123624163999</v>
      </c>
      <c r="AF92">
        <v>3493</v>
      </c>
      <c r="AG92">
        <v>4226</v>
      </c>
      <c r="AH92">
        <v>3369</v>
      </c>
      <c r="AI92">
        <v>4192</v>
      </c>
      <c r="AJ92">
        <v>4291</v>
      </c>
      <c r="AK92">
        <v>4324</v>
      </c>
      <c r="AL92">
        <v>4310</v>
      </c>
      <c r="AM92">
        <v>3576.19727409698</v>
      </c>
      <c r="AN92">
        <v>3594</v>
      </c>
      <c r="AO92">
        <v>4204</v>
      </c>
      <c r="AP92">
        <v>3429</v>
      </c>
      <c r="AQ92">
        <v>2963</v>
      </c>
      <c r="AR92">
        <v>4228</v>
      </c>
      <c r="AS92">
        <v>3875</v>
      </c>
      <c r="AT92">
        <v>3656</v>
      </c>
      <c r="AU92">
        <v>3454</v>
      </c>
      <c r="AV92">
        <v>2981</v>
      </c>
      <c r="AW92">
        <v>3441</v>
      </c>
      <c r="AX92">
        <v>3132</v>
      </c>
      <c r="AY92">
        <v>3310.6186935045898</v>
      </c>
      <c r="AZ92">
        <v>3286.22173555573</v>
      </c>
      <c r="BA92">
        <v>3300.4321613164102</v>
      </c>
      <c r="BB92">
        <v>2905.0804179739598</v>
      </c>
      <c r="BC92">
        <v>3202.30742486298</v>
      </c>
      <c r="BD92">
        <v>3646</v>
      </c>
      <c r="BE92">
        <v>3542</v>
      </c>
      <c r="BF92">
        <v>3622</v>
      </c>
      <c r="BG92">
        <v>3803</v>
      </c>
      <c r="BH92">
        <v>4168</v>
      </c>
      <c r="BI92">
        <v>4137</v>
      </c>
      <c r="BJ92">
        <v>3236.75677024994</v>
      </c>
      <c r="BK92">
        <v>3342</v>
      </c>
      <c r="BL92">
        <v>3630</v>
      </c>
      <c r="BM92">
        <v>3379</v>
      </c>
      <c r="BN92">
        <v>3628</v>
      </c>
      <c r="BO92">
        <v>3577</v>
      </c>
      <c r="BP92">
        <v>3487</v>
      </c>
      <c r="BQ92">
        <v>3524</v>
      </c>
      <c r="BR92">
        <v>3317.2389098855101</v>
      </c>
      <c r="BS92">
        <v>3304</v>
      </c>
      <c r="BT92">
        <v>3427</v>
      </c>
      <c r="BU92">
        <v>3240</v>
      </c>
      <c r="BV92">
        <v>3065</v>
      </c>
      <c r="BW92">
        <v>3706</v>
      </c>
      <c r="BX92">
        <v>3416</v>
      </c>
      <c r="BY92">
        <v>3184</v>
      </c>
      <c r="BZ92">
        <v>3115</v>
      </c>
      <c r="CA92">
        <v>2815</v>
      </c>
      <c r="CB92">
        <v>3224</v>
      </c>
      <c r="CC92">
        <v>2839</v>
      </c>
      <c r="CD92">
        <v>3455</v>
      </c>
      <c r="CE92">
        <v>3484</v>
      </c>
      <c r="CF92">
        <v>3505</v>
      </c>
      <c r="CG92">
        <v>3376.5053730643299</v>
      </c>
      <c r="CH92">
        <v>3299.4507131201399</v>
      </c>
      <c r="CJ92" s="5" t="s">
        <v>124</v>
      </c>
      <c r="CK92" s="7">
        <v>3201.0970315602599</v>
      </c>
      <c r="CL92" s="7">
        <v>2842.8247606641899</v>
      </c>
      <c r="CM92" s="7">
        <v>3268</v>
      </c>
      <c r="CN92" s="7">
        <v>0</v>
      </c>
      <c r="CO92" s="7">
        <v>3364.6782489914599</v>
      </c>
      <c r="CP92" s="7">
        <v>3072</v>
      </c>
    </row>
    <row r="93" spans="4:94" x14ac:dyDescent="0.25">
      <c r="D93">
        <v>92</v>
      </c>
      <c r="E93" t="s">
        <v>122</v>
      </c>
      <c r="F93" s="3">
        <v>42057</v>
      </c>
      <c r="G93" t="s">
        <v>128</v>
      </c>
      <c r="H93" t="s">
        <v>48</v>
      </c>
      <c r="I93">
        <v>3312</v>
      </c>
      <c r="J93">
        <v>3236</v>
      </c>
      <c r="K93">
        <v>3386</v>
      </c>
      <c r="L93">
        <v>3581</v>
      </c>
      <c r="M93">
        <v>3275.7189075587298</v>
      </c>
      <c r="N93">
        <v>3364.5758072508502</v>
      </c>
      <c r="O93" t="s">
        <v>48</v>
      </c>
      <c r="P93" t="s">
        <v>48</v>
      </c>
      <c r="Q93" t="s">
        <v>48</v>
      </c>
      <c r="R93" t="s">
        <v>48</v>
      </c>
      <c r="S93">
        <v>3348</v>
      </c>
      <c r="T93">
        <v>3192</v>
      </c>
      <c r="U93">
        <v>3228</v>
      </c>
      <c r="V93">
        <v>3366</v>
      </c>
      <c r="W93">
        <v>3376</v>
      </c>
      <c r="X93">
        <v>3302</v>
      </c>
      <c r="Y93">
        <v>4014</v>
      </c>
      <c r="Z93">
        <v>3537</v>
      </c>
      <c r="AA93">
        <v>3954</v>
      </c>
      <c r="AB93">
        <v>3943</v>
      </c>
      <c r="AC93">
        <v>4296</v>
      </c>
      <c r="AD93">
        <v>4264</v>
      </c>
      <c r="AE93">
        <v>3463.5579960967002</v>
      </c>
      <c r="AF93">
        <v>3444</v>
      </c>
      <c r="AG93">
        <v>4225</v>
      </c>
      <c r="AH93">
        <v>3367</v>
      </c>
      <c r="AI93">
        <v>4192</v>
      </c>
      <c r="AJ93">
        <v>4290</v>
      </c>
      <c r="AK93">
        <v>4324</v>
      </c>
      <c r="AL93">
        <v>4310</v>
      </c>
      <c r="AM93">
        <v>3559.1786343531599</v>
      </c>
      <c r="AN93">
        <v>3576</v>
      </c>
      <c r="AO93">
        <v>4204</v>
      </c>
      <c r="AP93">
        <v>3385</v>
      </c>
      <c r="AQ93">
        <v>2935</v>
      </c>
      <c r="AR93">
        <v>4228</v>
      </c>
      <c r="AS93">
        <v>3868</v>
      </c>
      <c r="AT93">
        <v>3641</v>
      </c>
      <c r="AU93">
        <v>3330</v>
      </c>
      <c r="AV93">
        <v>2888</v>
      </c>
      <c r="AW93">
        <v>3321</v>
      </c>
      <c r="AX93">
        <v>3033</v>
      </c>
      <c r="AY93">
        <v>3226.6186935045898</v>
      </c>
      <c r="AZ93">
        <v>3202.22173555573</v>
      </c>
      <c r="BA93">
        <v>3216.4321613164102</v>
      </c>
      <c r="BB93">
        <v>2905.0804179739598</v>
      </c>
      <c r="BC93">
        <v>3202.30742486298</v>
      </c>
      <c r="BD93">
        <v>3646</v>
      </c>
      <c r="BE93">
        <v>3542</v>
      </c>
      <c r="BF93">
        <v>3622</v>
      </c>
      <c r="BG93">
        <v>3803</v>
      </c>
      <c r="BH93">
        <v>4168</v>
      </c>
      <c r="BI93">
        <v>4137</v>
      </c>
      <c r="BJ93">
        <v>3187.4074111848499</v>
      </c>
      <c r="BK93">
        <v>3301</v>
      </c>
      <c r="BL93">
        <v>3626</v>
      </c>
      <c r="BM93">
        <v>3377</v>
      </c>
      <c r="BN93">
        <v>3624</v>
      </c>
      <c r="BO93">
        <v>3575</v>
      </c>
      <c r="BP93">
        <v>3484</v>
      </c>
      <c r="BQ93">
        <v>3521</v>
      </c>
      <c r="BR93">
        <v>3279.0230307442998</v>
      </c>
      <c r="BS93">
        <v>3276</v>
      </c>
      <c r="BT93">
        <v>3427</v>
      </c>
      <c r="BU93">
        <v>3208</v>
      </c>
      <c r="BV93">
        <v>3036</v>
      </c>
      <c r="BW93">
        <v>3706</v>
      </c>
      <c r="BX93">
        <v>3392</v>
      </c>
      <c r="BY93">
        <v>3166</v>
      </c>
      <c r="BZ93">
        <v>3003</v>
      </c>
      <c r="CA93">
        <v>2727</v>
      </c>
      <c r="CB93">
        <v>3111</v>
      </c>
      <c r="CC93">
        <v>2749</v>
      </c>
      <c r="CD93">
        <v>3371</v>
      </c>
      <c r="CE93">
        <v>3400</v>
      </c>
      <c r="CF93">
        <v>3421</v>
      </c>
      <c r="CG93">
        <v>3376.5053730643299</v>
      </c>
      <c r="CH93">
        <v>3299.4507131201399</v>
      </c>
      <c r="CJ93" s="5" t="s">
        <v>125</v>
      </c>
      <c r="CK93" s="7">
        <v>3489.0333076584102</v>
      </c>
      <c r="CL93" s="7">
        <v>2905.0804179739598</v>
      </c>
      <c r="CM93" s="7">
        <v>3511</v>
      </c>
      <c r="CN93" s="7">
        <v>0</v>
      </c>
      <c r="CO93" s="7">
        <v>3340.6995812002801</v>
      </c>
      <c r="CP93" s="7">
        <v>3196</v>
      </c>
    </row>
    <row r="94" spans="4:94" x14ac:dyDescent="0.25">
      <c r="D94">
        <v>93</v>
      </c>
      <c r="E94" t="s">
        <v>122</v>
      </c>
      <c r="F94" s="3">
        <v>42057</v>
      </c>
      <c r="G94" t="s">
        <v>129</v>
      </c>
      <c r="H94" t="s">
        <v>48</v>
      </c>
      <c r="I94">
        <v>3229</v>
      </c>
      <c r="J94">
        <v>3246</v>
      </c>
      <c r="K94">
        <v>3354</v>
      </c>
      <c r="L94">
        <v>3456</v>
      </c>
      <c r="M94">
        <v>3229.9981978442102</v>
      </c>
      <c r="N94">
        <v>3382.7325918546298</v>
      </c>
      <c r="O94" t="s">
        <v>48</v>
      </c>
      <c r="P94" t="s">
        <v>48</v>
      </c>
      <c r="Q94" t="s">
        <v>48</v>
      </c>
      <c r="R94" t="s">
        <v>48</v>
      </c>
      <c r="S94">
        <v>3314</v>
      </c>
      <c r="T94">
        <v>3159</v>
      </c>
      <c r="U94">
        <v>3163</v>
      </c>
      <c r="V94">
        <v>3311</v>
      </c>
      <c r="W94">
        <v>3314</v>
      </c>
      <c r="X94">
        <v>3252</v>
      </c>
      <c r="Y94">
        <v>3929</v>
      </c>
      <c r="Z94">
        <v>3538</v>
      </c>
      <c r="AA94">
        <v>3814</v>
      </c>
      <c r="AB94">
        <v>3930</v>
      </c>
      <c r="AC94">
        <v>4317</v>
      </c>
      <c r="AD94">
        <v>4294</v>
      </c>
      <c r="AE94">
        <v>3387.3831158481598</v>
      </c>
      <c r="AF94">
        <v>3381</v>
      </c>
      <c r="AG94">
        <v>3935</v>
      </c>
      <c r="AH94">
        <v>3354</v>
      </c>
      <c r="AI94">
        <v>3886</v>
      </c>
      <c r="AJ94">
        <v>4176</v>
      </c>
      <c r="AK94">
        <v>4341</v>
      </c>
      <c r="AL94">
        <v>4299</v>
      </c>
      <c r="AM94">
        <v>3407.3752456453799</v>
      </c>
      <c r="AN94">
        <v>3408</v>
      </c>
      <c r="AO94">
        <v>4132</v>
      </c>
      <c r="AP94">
        <v>3389</v>
      </c>
      <c r="AQ94">
        <v>2905</v>
      </c>
      <c r="AR94">
        <v>4163</v>
      </c>
      <c r="AS94">
        <v>3795</v>
      </c>
      <c r="AT94">
        <v>3580</v>
      </c>
      <c r="AU94">
        <v>3235</v>
      </c>
      <c r="AV94">
        <v>2839</v>
      </c>
      <c r="AW94">
        <v>3162</v>
      </c>
      <c r="AX94">
        <v>2976</v>
      </c>
      <c r="AY94">
        <v>3130.40667513782</v>
      </c>
      <c r="AZ94">
        <v>3125.29495624419</v>
      </c>
      <c r="BA94">
        <v>3117.4753714798399</v>
      </c>
      <c r="BB94">
        <v>2938.7673448034502</v>
      </c>
      <c r="BC94">
        <v>3162.5332364068499</v>
      </c>
      <c r="BD94">
        <v>3677</v>
      </c>
      <c r="BE94">
        <v>3548</v>
      </c>
      <c r="BF94">
        <v>3668</v>
      </c>
      <c r="BG94">
        <v>3746</v>
      </c>
      <c r="BH94">
        <v>4008</v>
      </c>
      <c r="BI94">
        <v>4005</v>
      </c>
      <c r="BJ94">
        <v>3248.4992749089702</v>
      </c>
      <c r="BK94">
        <v>3387</v>
      </c>
      <c r="BL94">
        <v>3628</v>
      </c>
      <c r="BM94">
        <v>3356</v>
      </c>
      <c r="BN94">
        <v>3643</v>
      </c>
      <c r="BO94">
        <v>3596</v>
      </c>
      <c r="BP94">
        <v>3552</v>
      </c>
      <c r="BQ94">
        <v>3555</v>
      </c>
      <c r="BR94">
        <v>3279.3278765629002</v>
      </c>
      <c r="BS94">
        <v>3277</v>
      </c>
      <c r="BT94">
        <v>3833</v>
      </c>
      <c r="BU94">
        <v>3246</v>
      </c>
      <c r="BV94">
        <v>3018</v>
      </c>
      <c r="BW94">
        <v>3861</v>
      </c>
      <c r="BX94">
        <v>3420</v>
      </c>
      <c r="BY94">
        <v>3131</v>
      </c>
      <c r="BZ94">
        <v>2946</v>
      </c>
      <c r="CA94">
        <v>2684</v>
      </c>
      <c r="CB94">
        <v>3071</v>
      </c>
      <c r="CC94">
        <v>2696</v>
      </c>
      <c r="CD94">
        <v>3304</v>
      </c>
      <c r="CE94">
        <v>3312</v>
      </c>
      <c r="CF94">
        <v>3345</v>
      </c>
      <c r="CG94">
        <v>3370.59671725933</v>
      </c>
      <c r="CH94">
        <v>3310.8683936371299</v>
      </c>
      <c r="CJ94" s="5" t="s">
        <v>126</v>
      </c>
      <c r="CK94" s="7">
        <v>3527.5197278759501</v>
      </c>
      <c r="CL94" s="7">
        <v>2905.0804179739598</v>
      </c>
      <c r="CM94" s="7">
        <v>3532</v>
      </c>
      <c r="CN94" s="7">
        <v>0</v>
      </c>
      <c r="CO94" s="7">
        <v>3457.0231967261202</v>
      </c>
      <c r="CP94" s="7">
        <v>3293</v>
      </c>
    </row>
    <row r="95" spans="4:94" x14ac:dyDescent="0.25">
      <c r="D95">
        <v>94</v>
      </c>
      <c r="E95" t="s">
        <v>122</v>
      </c>
      <c r="F95" s="3">
        <v>42057</v>
      </c>
      <c r="G95" t="s">
        <v>130</v>
      </c>
      <c r="H95" t="s">
        <v>48</v>
      </c>
      <c r="I95">
        <v>3210</v>
      </c>
      <c r="J95">
        <v>3187</v>
      </c>
      <c r="K95">
        <v>3277</v>
      </c>
      <c r="L95">
        <v>3444</v>
      </c>
      <c r="M95">
        <v>3209.41818719194</v>
      </c>
      <c r="N95">
        <v>3302.5945287108302</v>
      </c>
      <c r="O95" t="s">
        <v>48</v>
      </c>
      <c r="P95" t="s">
        <v>48</v>
      </c>
      <c r="Q95" t="s">
        <v>48</v>
      </c>
      <c r="R95" t="s">
        <v>48</v>
      </c>
      <c r="S95">
        <v>3281</v>
      </c>
      <c r="T95">
        <v>3125</v>
      </c>
      <c r="U95">
        <v>3137</v>
      </c>
      <c r="V95">
        <v>3279</v>
      </c>
      <c r="W95">
        <v>3284</v>
      </c>
      <c r="X95">
        <v>3147</v>
      </c>
      <c r="Y95">
        <v>3929</v>
      </c>
      <c r="Z95">
        <v>3538</v>
      </c>
      <c r="AA95">
        <v>3814</v>
      </c>
      <c r="AB95">
        <v>3930</v>
      </c>
      <c r="AC95">
        <v>4317</v>
      </c>
      <c r="AD95">
        <v>4294</v>
      </c>
      <c r="AE95">
        <v>3387.3831158481598</v>
      </c>
      <c r="AF95">
        <v>3381</v>
      </c>
      <c r="AG95">
        <v>3935</v>
      </c>
      <c r="AH95">
        <v>3353</v>
      </c>
      <c r="AI95">
        <v>3886</v>
      </c>
      <c r="AJ95">
        <v>4176</v>
      </c>
      <c r="AK95">
        <v>4341</v>
      </c>
      <c r="AL95">
        <v>4299</v>
      </c>
      <c r="AM95">
        <v>3402.6853563609998</v>
      </c>
      <c r="AN95">
        <v>3406</v>
      </c>
      <c r="AO95">
        <v>4132</v>
      </c>
      <c r="AP95">
        <v>3389</v>
      </c>
      <c r="AQ95">
        <v>2905</v>
      </c>
      <c r="AR95">
        <v>4163</v>
      </c>
      <c r="AS95">
        <v>3794</v>
      </c>
      <c r="AT95">
        <v>3581</v>
      </c>
      <c r="AU95">
        <v>3208</v>
      </c>
      <c r="AV95">
        <v>2812</v>
      </c>
      <c r="AW95">
        <v>3135</v>
      </c>
      <c r="AX95">
        <v>2947</v>
      </c>
      <c r="AY95">
        <v>3104.40667513782</v>
      </c>
      <c r="AZ95">
        <v>3099.29495624419</v>
      </c>
      <c r="BA95">
        <v>3091.4753714798399</v>
      </c>
      <c r="BB95">
        <v>2938.7673448034502</v>
      </c>
      <c r="BC95">
        <v>3162.5332364068499</v>
      </c>
      <c r="BD95">
        <v>3677</v>
      </c>
      <c r="BE95">
        <v>3548</v>
      </c>
      <c r="BF95">
        <v>3668</v>
      </c>
      <c r="BG95">
        <v>3746</v>
      </c>
      <c r="BH95">
        <v>4008</v>
      </c>
      <c r="BI95">
        <v>4005</v>
      </c>
      <c r="BJ95">
        <v>3239.6797147341299</v>
      </c>
      <c r="BK95">
        <v>3387</v>
      </c>
      <c r="BL95">
        <v>3626</v>
      </c>
      <c r="BM95">
        <v>3353</v>
      </c>
      <c r="BN95">
        <v>3642</v>
      </c>
      <c r="BO95">
        <v>3595</v>
      </c>
      <c r="BP95">
        <v>3551</v>
      </c>
      <c r="BQ95">
        <v>3554</v>
      </c>
      <c r="BR95">
        <v>3274.4688203157498</v>
      </c>
      <c r="BS95">
        <v>3275</v>
      </c>
      <c r="BT95">
        <v>3833</v>
      </c>
      <c r="BU95">
        <v>3246</v>
      </c>
      <c r="BV95">
        <v>3018</v>
      </c>
      <c r="BW95">
        <v>3861</v>
      </c>
      <c r="BX95">
        <v>3417</v>
      </c>
      <c r="BY95">
        <v>3132</v>
      </c>
      <c r="BZ95">
        <v>2921</v>
      </c>
      <c r="CA95">
        <v>2659</v>
      </c>
      <c r="CB95">
        <v>3044</v>
      </c>
      <c r="CC95">
        <v>2669</v>
      </c>
      <c r="CD95">
        <v>3278</v>
      </c>
      <c r="CE95">
        <v>3286</v>
      </c>
      <c r="CF95">
        <v>3319</v>
      </c>
      <c r="CG95">
        <v>3370.59671725933</v>
      </c>
      <c r="CH95">
        <v>3310.8683936371299</v>
      </c>
      <c r="CJ95" s="5" t="s">
        <v>127</v>
      </c>
      <c r="CK95" s="7">
        <v>3485.9611033224101</v>
      </c>
      <c r="CL95" s="7">
        <v>2905.0804179739598</v>
      </c>
      <c r="CM95" s="7">
        <v>3470</v>
      </c>
      <c r="CN95" s="7">
        <v>0</v>
      </c>
      <c r="CO95" s="7">
        <v>3411.7517602470198</v>
      </c>
      <c r="CP95" s="7">
        <v>3251</v>
      </c>
    </row>
    <row r="96" spans="4:94" x14ac:dyDescent="0.25">
      <c r="D96">
        <v>95</v>
      </c>
      <c r="E96" t="s">
        <v>122</v>
      </c>
      <c r="F96" s="3">
        <v>42057</v>
      </c>
      <c r="G96" t="s">
        <v>131</v>
      </c>
      <c r="H96" t="s">
        <v>48</v>
      </c>
      <c r="I96">
        <v>3129</v>
      </c>
      <c r="J96">
        <v>3125</v>
      </c>
      <c r="K96">
        <v>3200</v>
      </c>
      <c r="L96">
        <v>3443</v>
      </c>
      <c r="M96">
        <v>3155.1407541818298</v>
      </c>
      <c r="N96">
        <v>3291.5257038985501</v>
      </c>
      <c r="O96" t="s">
        <v>48</v>
      </c>
      <c r="P96" t="s">
        <v>48</v>
      </c>
      <c r="Q96" t="s">
        <v>48</v>
      </c>
      <c r="R96" t="s">
        <v>48</v>
      </c>
      <c r="S96">
        <v>3227</v>
      </c>
      <c r="T96">
        <v>3074</v>
      </c>
      <c r="U96">
        <v>3042</v>
      </c>
      <c r="V96">
        <v>3208</v>
      </c>
      <c r="W96">
        <v>3213</v>
      </c>
      <c r="X96">
        <v>3122</v>
      </c>
      <c r="Y96">
        <v>3929</v>
      </c>
      <c r="Z96">
        <v>3538</v>
      </c>
      <c r="AA96">
        <v>3814</v>
      </c>
      <c r="AB96">
        <v>3930</v>
      </c>
      <c r="AC96">
        <v>4317</v>
      </c>
      <c r="AD96">
        <v>4294</v>
      </c>
      <c r="AE96">
        <v>3391.3376667554198</v>
      </c>
      <c r="AF96">
        <v>3375</v>
      </c>
      <c r="AG96">
        <v>3935</v>
      </c>
      <c r="AH96">
        <v>3348</v>
      </c>
      <c r="AI96">
        <v>3885</v>
      </c>
      <c r="AJ96">
        <v>4175</v>
      </c>
      <c r="AK96">
        <v>4341</v>
      </c>
      <c r="AL96">
        <v>4299</v>
      </c>
      <c r="AM96">
        <v>3390.7042015091101</v>
      </c>
      <c r="AN96">
        <v>3396</v>
      </c>
      <c r="AO96">
        <v>4132</v>
      </c>
      <c r="AP96">
        <v>3378</v>
      </c>
      <c r="AQ96">
        <v>2913</v>
      </c>
      <c r="AR96">
        <v>4163</v>
      </c>
      <c r="AS96">
        <v>3788</v>
      </c>
      <c r="AT96">
        <v>3576</v>
      </c>
      <c r="AU96">
        <v>3132</v>
      </c>
      <c r="AV96">
        <v>2762</v>
      </c>
      <c r="AW96">
        <v>3060</v>
      </c>
      <c r="AX96">
        <v>2894</v>
      </c>
      <c r="AY96">
        <v>3009.40667513782</v>
      </c>
      <c r="AZ96">
        <v>3004.29495624419</v>
      </c>
      <c r="BA96">
        <v>2996.4753714798399</v>
      </c>
      <c r="BB96">
        <v>2938.7673448034502</v>
      </c>
      <c r="BC96">
        <v>3162.5332364068499</v>
      </c>
      <c r="BD96">
        <v>3677</v>
      </c>
      <c r="BE96">
        <v>3548</v>
      </c>
      <c r="BF96">
        <v>3668</v>
      </c>
      <c r="BG96">
        <v>3746</v>
      </c>
      <c r="BH96">
        <v>4008</v>
      </c>
      <c r="BI96">
        <v>4005</v>
      </c>
      <c r="BJ96">
        <v>3246.3017649969001</v>
      </c>
      <c r="BK96">
        <v>3381</v>
      </c>
      <c r="BL96">
        <v>3624</v>
      </c>
      <c r="BM96">
        <v>3350</v>
      </c>
      <c r="BN96">
        <v>3639</v>
      </c>
      <c r="BO96">
        <v>3592</v>
      </c>
      <c r="BP96">
        <v>3548</v>
      </c>
      <c r="BQ96">
        <v>3553</v>
      </c>
      <c r="BR96">
        <v>3263.9089737496201</v>
      </c>
      <c r="BS96">
        <v>3267</v>
      </c>
      <c r="BT96">
        <v>3833</v>
      </c>
      <c r="BU96">
        <v>3236</v>
      </c>
      <c r="BV96">
        <v>3026</v>
      </c>
      <c r="BW96">
        <v>3861</v>
      </c>
      <c r="BX96">
        <v>3398</v>
      </c>
      <c r="BY96">
        <v>3127</v>
      </c>
      <c r="BZ96">
        <v>2852</v>
      </c>
      <c r="CA96">
        <v>2612</v>
      </c>
      <c r="CB96">
        <v>2971</v>
      </c>
      <c r="CC96">
        <v>2621</v>
      </c>
      <c r="CD96">
        <v>3183</v>
      </c>
      <c r="CE96">
        <v>3191</v>
      </c>
      <c r="CF96">
        <v>3224</v>
      </c>
      <c r="CG96">
        <v>3370.59671725933</v>
      </c>
      <c r="CH96">
        <v>3310.8683936371299</v>
      </c>
      <c r="CJ96" s="5" t="s">
        <v>128</v>
      </c>
      <c r="CK96" s="7">
        <v>3275.7189075587298</v>
      </c>
      <c r="CL96" s="7">
        <v>2905.0804179739598</v>
      </c>
      <c r="CM96" s="7">
        <v>3376</v>
      </c>
      <c r="CN96" s="7">
        <v>0</v>
      </c>
      <c r="CO96" s="7">
        <v>3364.5758072508502</v>
      </c>
      <c r="CP96" s="7">
        <v>3236</v>
      </c>
    </row>
    <row r="97" spans="4:94" x14ac:dyDescent="0.25">
      <c r="D97">
        <v>96</v>
      </c>
      <c r="E97" t="s">
        <v>122</v>
      </c>
      <c r="F97" s="3">
        <v>42057</v>
      </c>
      <c r="G97" t="s">
        <v>132</v>
      </c>
      <c r="H97" t="s">
        <v>48</v>
      </c>
      <c r="I97">
        <v>3132</v>
      </c>
      <c r="J97">
        <v>3087</v>
      </c>
      <c r="K97">
        <v>3197</v>
      </c>
      <c r="L97">
        <v>3402</v>
      </c>
      <c r="M97">
        <v>3146.2346193113199</v>
      </c>
      <c r="N97">
        <v>3262.8800446827499</v>
      </c>
      <c r="O97" t="s">
        <v>48</v>
      </c>
      <c r="P97" t="s">
        <v>48</v>
      </c>
      <c r="Q97" t="s">
        <v>48</v>
      </c>
      <c r="R97" t="s">
        <v>48</v>
      </c>
      <c r="S97">
        <v>3208</v>
      </c>
      <c r="T97">
        <v>3052</v>
      </c>
      <c r="U97">
        <v>3046</v>
      </c>
      <c r="V97">
        <v>3200</v>
      </c>
      <c r="W97">
        <v>3207</v>
      </c>
      <c r="X97">
        <v>3092</v>
      </c>
      <c r="Y97">
        <v>3929</v>
      </c>
      <c r="Z97">
        <v>3538</v>
      </c>
      <c r="AA97">
        <v>3814</v>
      </c>
      <c r="AB97">
        <v>3930</v>
      </c>
      <c r="AC97">
        <v>4317</v>
      </c>
      <c r="AD97">
        <v>4294</v>
      </c>
      <c r="AE97">
        <v>3391.3376667554198</v>
      </c>
      <c r="AF97">
        <v>3370</v>
      </c>
      <c r="AG97">
        <v>3935</v>
      </c>
      <c r="AH97">
        <v>3344</v>
      </c>
      <c r="AI97">
        <v>3885</v>
      </c>
      <c r="AJ97">
        <v>4175</v>
      </c>
      <c r="AK97">
        <v>4341</v>
      </c>
      <c r="AL97">
        <v>4299</v>
      </c>
      <c r="AM97">
        <v>3388.3007139205001</v>
      </c>
      <c r="AN97">
        <v>3395</v>
      </c>
      <c r="AO97">
        <v>4132</v>
      </c>
      <c r="AP97">
        <v>3378</v>
      </c>
      <c r="AQ97">
        <v>2913</v>
      </c>
      <c r="AR97">
        <v>4163</v>
      </c>
      <c r="AS97">
        <v>3788</v>
      </c>
      <c r="AT97">
        <v>3574</v>
      </c>
      <c r="AU97">
        <v>3142</v>
      </c>
      <c r="AV97">
        <v>2760</v>
      </c>
      <c r="AW97">
        <v>3067</v>
      </c>
      <c r="AX97">
        <v>2891</v>
      </c>
      <c r="AY97">
        <v>3013.40667513782</v>
      </c>
      <c r="AZ97">
        <v>3008.29495624419</v>
      </c>
      <c r="BA97">
        <v>3000.4753714798399</v>
      </c>
      <c r="BB97">
        <v>2938.7673448034502</v>
      </c>
      <c r="BC97">
        <v>3162.5332364068499</v>
      </c>
      <c r="BD97">
        <v>3677</v>
      </c>
      <c r="BE97">
        <v>3548</v>
      </c>
      <c r="BF97">
        <v>3668</v>
      </c>
      <c r="BG97">
        <v>3746</v>
      </c>
      <c r="BH97">
        <v>4008</v>
      </c>
      <c r="BI97">
        <v>4005</v>
      </c>
      <c r="BJ97">
        <v>3246.3017649969001</v>
      </c>
      <c r="BK97">
        <v>3376</v>
      </c>
      <c r="BL97">
        <v>3624</v>
      </c>
      <c r="BM97">
        <v>3345</v>
      </c>
      <c r="BN97">
        <v>3639</v>
      </c>
      <c r="BO97">
        <v>3592</v>
      </c>
      <c r="BP97">
        <v>3547</v>
      </c>
      <c r="BQ97">
        <v>3553</v>
      </c>
      <c r="BR97">
        <v>3262.5769034412901</v>
      </c>
      <c r="BS97">
        <v>3267</v>
      </c>
      <c r="BT97">
        <v>3833</v>
      </c>
      <c r="BU97">
        <v>3236</v>
      </c>
      <c r="BV97">
        <v>3026</v>
      </c>
      <c r="BW97">
        <v>3861</v>
      </c>
      <c r="BX97">
        <v>3398</v>
      </c>
      <c r="BY97">
        <v>3121</v>
      </c>
      <c r="BZ97">
        <v>2861</v>
      </c>
      <c r="CA97">
        <v>2610</v>
      </c>
      <c r="CB97">
        <v>2978</v>
      </c>
      <c r="CC97">
        <v>2618</v>
      </c>
      <c r="CD97">
        <v>3187</v>
      </c>
      <c r="CE97">
        <v>3195</v>
      </c>
      <c r="CF97">
        <v>3228</v>
      </c>
      <c r="CG97">
        <v>3370.59671725933</v>
      </c>
      <c r="CH97">
        <v>3310.8683936371299</v>
      </c>
      <c r="CJ97" s="5" t="s">
        <v>129</v>
      </c>
      <c r="CK97" s="7">
        <v>3229.9981978442102</v>
      </c>
      <c r="CL97" s="7">
        <v>2938.7673448034502</v>
      </c>
      <c r="CM97" s="7">
        <v>3314</v>
      </c>
      <c r="CN97" s="7">
        <v>0</v>
      </c>
      <c r="CO97" s="7">
        <v>3382.7325918546298</v>
      </c>
      <c r="CP97" s="7">
        <v>3246</v>
      </c>
    </row>
    <row r="98" spans="4:94" x14ac:dyDescent="0.25">
      <c r="G98" s="6"/>
      <c r="H98" s="6"/>
      <c r="I98" s="6">
        <f t="shared" ref="I98:K98" si="0">SUM(I2:I97)/400</f>
        <v>838.05250000000001</v>
      </c>
      <c r="J98" s="6">
        <f t="shared" si="0"/>
        <v>971.495</v>
      </c>
      <c r="K98" s="6">
        <f t="shared" si="0"/>
        <v>942.65750000000003</v>
      </c>
      <c r="L98" s="6">
        <f t="shared" ref="L98:N98" si="1">SUM(L2:L97)/400</f>
        <v>1035.5907143914553</v>
      </c>
      <c r="M98" s="6">
        <f t="shared" si="1"/>
        <v>878.50123555683763</v>
      </c>
      <c r="N98" s="6">
        <f t="shared" si="1"/>
        <v>891.8089119718411</v>
      </c>
      <c r="O98" s="6"/>
      <c r="P98" s="6">
        <f t="shared" ref="P98:BW98" si="2">SUM(P2:P97)/400</f>
        <v>148.91249999999999</v>
      </c>
      <c r="Q98" s="6">
        <f t="shared" si="2"/>
        <v>148.51750000000001</v>
      </c>
      <c r="R98" s="6">
        <f t="shared" si="2"/>
        <v>147.94</v>
      </c>
      <c r="S98" s="6">
        <f t="shared" si="2"/>
        <v>922.12249999999995</v>
      </c>
      <c r="T98" s="6">
        <f t="shared" si="2"/>
        <v>899.15499999999997</v>
      </c>
      <c r="U98" s="6">
        <f t="shared" si="2"/>
        <v>841.23249999999996</v>
      </c>
      <c r="V98" s="6">
        <f t="shared" si="2"/>
        <v>890.73500000000001</v>
      </c>
      <c r="W98" s="6">
        <f t="shared" si="2"/>
        <v>892.52750000000003</v>
      </c>
      <c r="X98" s="6">
        <f t="shared" si="2"/>
        <v>841.86500000000001</v>
      </c>
      <c r="Y98" s="6">
        <f t="shared" si="2"/>
        <v>903.13750000000005</v>
      </c>
      <c r="Z98" s="6">
        <f t="shared" si="2"/>
        <v>904.745</v>
      </c>
      <c r="AA98" s="6">
        <f t="shared" si="2"/>
        <v>897.44749999999999</v>
      </c>
      <c r="AB98" s="6">
        <f t="shared" si="2"/>
        <v>891.82</v>
      </c>
      <c r="AC98" s="6">
        <f t="shared" si="2"/>
        <v>879.75250000000005</v>
      </c>
      <c r="AD98" s="6">
        <f t="shared" si="2"/>
        <v>879.04250000000002</v>
      </c>
      <c r="AE98" s="6">
        <f t="shared" si="2"/>
        <v>902.0304584288217</v>
      </c>
      <c r="AF98" s="6">
        <f t="shared" si="2"/>
        <v>907.72</v>
      </c>
      <c r="AG98" s="6">
        <f t="shared" si="2"/>
        <v>903.76750000000004</v>
      </c>
      <c r="AH98" s="6">
        <f t="shared" si="2"/>
        <v>879.46</v>
      </c>
      <c r="AI98" s="6">
        <f t="shared" si="2"/>
        <v>902.86749999999995</v>
      </c>
      <c r="AJ98" s="6">
        <f t="shared" si="2"/>
        <v>895.15250000000003</v>
      </c>
      <c r="AK98" s="6">
        <f t="shared" si="2"/>
        <v>892.18</v>
      </c>
      <c r="AL98" s="6">
        <f t="shared" si="2"/>
        <v>892.08749999999998</v>
      </c>
      <c r="AM98" s="6">
        <f t="shared" si="2"/>
        <v>872.31014809427961</v>
      </c>
      <c r="AN98" s="6">
        <f t="shared" si="2"/>
        <v>873.59</v>
      </c>
      <c r="AO98" s="6">
        <f t="shared" si="2"/>
        <v>926.03</v>
      </c>
      <c r="AP98" s="6">
        <f t="shared" si="2"/>
        <v>890.15250000000003</v>
      </c>
      <c r="AQ98" s="6">
        <f t="shared" si="2"/>
        <v>861.65250000000003</v>
      </c>
      <c r="AR98" s="6">
        <f t="shared" si="2"/>
        <v>927.83</v>
      </c>
      <c r="AS98" s="6">
        <f t="shared" si="2"/>
        <v>904.11500000000001</v>
      </c>
      <c r="AT98" s="6">
        <f t="shared" si="2"/>
        <v>880.75</v>
      </c>
      <c r="AU98" s="6">
        <f t="shared" si="2"/>
        <v>884.56500000000005</v>
      </c>
      <c r="AV98" s="6">
        <f t="shared" si="2"/>
        <v>844.95</v>
      </c>
      <c r="AW98" s="6">
        <f t="shared" si="2"/>
        <v>903.53499999999997</v>
      </c>
      <c r="AX98" s="6">
        <f t="shared" si="2"/>
        <v>817.72249999999997</v>
      </c>
      <c r="AY98" s="6">
        <f t="shared" si="2"/>
        <v>867.13179734819778</v>
      </c>
      <c r="AZ98" s="6">
        <f t="shared" si="2"/>
        <v>867.74027170792124</v>
      </c>
      <c r="BA98" s="6">
        <f t="shared" si="2"/>
        <v>870.20345639222546</v>
      </c>
      <c r="BB98" s="6">
        <f t="shared" si="2"/>
        <v>936.26327789899869</v>
      </c>
      <c r="BC98" s="6">
        <f t="shared" si="2"/>
        <v>907.90056396701084</v>
      </c>
      <c r="BD98" s="6">
        <f t="shared" si="2"/>
        <v>932.19</v>
      </c>
      <c r="BE98" s="6">
        <f t="shared" si="2"/>
        <v>906.28750000000002</v>
      </c>
      <c r="BF98" s="6">
        <f t="shared" si="2"/>
        <v>917.26750000000004</v>
      </c>
      <c r="BG98" s="6">
        <f t="shared" si="2"/>
        <v>940.1</v>
      </c>
      <c r="BH98" s="6">
        <f t="shared" si="2"/>
        <v>905.16250000000002</v>
      </c>
      <c r="BI98" s="6">
        <f t="shared" si="2"/>
        <v>903.29</v>
      </c>
      <c r="BJ98" s="6">
        <f t="shared" si="2"/>
        <v>912.06485653282255</v>
      </c>
      <c r="BK98" s="6">
        <f t="shared" si="2"/>
        <v>919.65250000000003</v>
      </c>
      <c r="BL98" s="6">
        <f t="shared" si="2"/>
        <v>910.3</v>
      </c>
      <c r="BM98" s="6">
        <f t="shared" si="2"/>
        <v>879.51</v>
      </c>
      <c r="BN98" s="6">
        <f t="shared" si="2"/>
        <v>910.47</v>
      </c>
      <c r="BO98" s="6">
        <f t="shared" si="2"/>
        <v>897.51499999999999</v>
      </c>
      <c r="BP98" s="6">
        <f t="shared" si="2"/>
        <v>870.39750000000004</v>
      </c>
      <c r="BQ98" s="6">
        <f t="shared" si="2"/>
        <v>871.02499999999998</v>
      </c>
      <c r="BR98" s="6">
        <f t="shared" si="2"/>
        <v>867.52629260474293</v>
      </c>
      <c r="BS98" s="6">
        <f t="shared" si="2"/>
        <v>875.59749999999997</v>
      </c>
      <c r="BT98" s="6">
        <f t="shared" si="2"/>
        <v>913.07</v>
      </c>
      <c r="BU98" s="6">
        <f t="shared" si="2"/>
        <v>898.6</v>
      </c>
      <c r="BV98" s="6">
        <f t="shared" si="2"/>
        <v>858.54</v>
      </c>
      <c r="BW98" s="6">
        <f t="shared" si="2"/>
        <v>929.36</v>
      </c>
      <c r="BX98" s="6">
        <f t="shared" ref="BX98:CG98" si="3">SUM(BX2:BX97)/400</f>
        <v>886.61249999999995</v>
      </c>
      <c r="BY98" s="6">
        <f t="shared" si="3"/>
        <v>861.125</v>
      </c>
      <c r="BZ98" s="6">
        <f t="shared" si="3"/>
        <v>847.46500000000003</v>
      </c>
      <c r="CA98" s="6">
        <f t="shared" si="3"/>
        <v>780.55499999999995</v>
      </c>
      <c r="CB98" s="6">
        <f t="shared" si="3"/>
        <v>868.33500000000004</v>
      </c>
      <c r="CC98" s="6">
        <f t="shared" si="3"/>
        <v>759.75750000000005</v>
      </c>
      <c r="CD98" s="6">
        <f t="shared" si="3"/>
        <v>897.74249999999995</v>
      </c>
      <c r="CE98" s="6">
        <f t="shared" si="3"/>
        <v>901.23249999999996</v>
      </c>
      <c r="CF98" s="6">
        <f t="shared" si="3"/>
        <v>906.53250000000003</v>
      </c>
      <c r="CG98" s="6">
        <f t="shared" si="3"/>
        <v>875.30645639243755</v>
      </c>
      <c r="CH98" s="6">
        <f t="shared" ref="CH98" si="4">SUM(CH2:CH97)/400</f>
        <v>908.42870399379478</v>
      </c>
      <c r="CJ98" s="5" t="s">
        <v>130</v>
      </c>
      <c r="CK98" s="7">
        <v>3209.41818719194</v>
      </c>
      <c r="CL98" s="7">
        <v>2938.7673448034502</v>
      </c>
      <c r="CM98" s="7">
        <v>3284</v>
      </c>
      <c r="CN98" s="7">
        <v>0</v>
      </c>
      <c r="CO98" s="7">
        <v>3302.5945287108302</v>
      </c>
      <c r="CP98" s="7">
        <v>3187</v>
      </c>
    </row>
    <row r="99" spans="4:94" x14ac:dyDescent="0.25">
      <c r="CJ99" s="5" t="s">
        <v>131</v>
      </c>
      <c r="CK99" s="7">
        <v>3155.1407541818298</v>
      </c>
      <c r="CL99" s="7">
        <v>2938.7673448034502</v>
      </c>
      <c r="CM99" s="7">
        <v>3213</v>
      </c>
      <c r="CN99" s="7">
        <v>0</v>
      </c>
      <c r="CO99" s="7">
        <v>3291.5257038985501</v>
      </c>
      <c r="CP99" s="7">
        <v>3125</v>
      </c>
    </row>
    <row r="100" spans="4:94" x14ac:dyDescent="0.25">
      <c r="CJ100" s="5" t="s">
        <v>132</v>
      </c>
      <c r="CK100" s="7">
        <v>3146.2346193113199</v>
      </c>
      <c r="CL100" s="7">
        <v>2938.7673448034502</v>
      </c>
      <c r="CM100" s="7">
        <v>3207</v>
      </c>
      <c r="CN100" s="7">
        <v>0</v>
      </c>
      <c r="CO100" s="7">
        <v>3262.8800446827499</v>
      </c>
      <c r="CP100" s="7">
        <v>3087</v>
      </c>
    </row>
  </sheetData>
  <mergeCells count="1">
    <mergeCell ref="A1:C1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6" r:id="rId5" name="CommandButton7">
          <controlPr defaultSize="0" autoLine="0" r:id="rId6">
            <anchor moveWithCells="1">
              <from>
                <xdr:col>0</xdr:col>
                <xdr:colOff>428625</xdr:colOff>
                <xdr:row>33</xdr:row>
                <xdr:rowOff>180975</xdr:rowOff>
              </from>
              <to>
                <xdr:col>2</xdr:col>
                <xdr:colOff>561975</xdr:colOff>
                <xdr:row>35</xdr:row>
                <xdr:rowOff>104775</xdr:rowOff>
              </to>
            </anchor>
          </controlPr>
        </control>
      </mc:Choice>
      <mc:Fallback>
        <control shapeId="2056" r:id="rId5" name="CommandButton7"/>
      </mc:Fallback>
    </mc:AlternateContent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1</xdr:col>
                <xdr:colOff>47625</xdr:colOff>
                <xdr:row>8</xdr:row>
                <xdr:rowOff>76200</xdr:rowOff>
              </from>
              <to>
                <xdr:col>2</xdr:col>
                <xdr:colOff>457200</xdr:colOff>
                <xdr:row>10</xdr:row>
                <xdr:rowOff>38100</xdr:rowOff>
              </to>
            </anchor>
          </controlPr>
        </control>
      </mc:Choice>
      <mc:Fallback>
        <control shapeId="2049" r:id="rId7" name="CommandButton1"/>
      </mc:Fallback>
    </mc:AlternateContent>
    <mc:AlternateContent xmlns:mc="http://schemas.openxmlformats.org/markup-compatibility/2006">
      <mc:Choice Requires="x14">
        <control shapeId="2050" r:id="rId9" name="CommandButton2">
          <controlPr defaultSize="0" autoLine="0" r:id="rId10">
            <anchor moveWithCells="1">
              <from>
                <xdr:col>1</xdr:col>
                <xdr:colOff>0</xdr:colOff>
                <xdr:row>13</xdr:row>
                <xdr:rowOff>28575</xdr:rowOff>
              </from>
              <to>
                <xdr:col>2</xdr:col>
                <xdr:colOff>428625</xdr:colOff>
                <xdr:row>14</xdr:row>
                <xdr:rowOff>171450</xdr:rowOff>
              </to>
            </anchor>
          </controlPr>
        </control>
      </mc:Choice>
      <mc:Fallback>
        <control shapeId="2050" r:id="rId9" name="CommandButton2"/>
      </mc:Fallback>
    </mc:AlternateContent>
    <mc:AlternateContent xmlns:mc="http://schemas.openxmlformats.org/markup-compatibility/2006">
      <mc:Choice Requires="x14">
        <control shapeId="2053" r:id="rId11" name="CommandButton4">
          <controlPr defaultSize="0" autoLine="0" r:id="rId12">
            <anchor moveWithCells="1">
              <from>
                <xdr:col>1</xdr:col>
                <xdr:colOff>38100</xdr:colOff>
                <xdr:row>21</xdr:row>
                <xdr:rowOff>38100</xdr:rowOff>
              </from>
              <to>
                <xdr:col>2</xdr:col>
                <xdr:colOff>485775</xdr:colOff>
                <xdr:row>22</xdr:row>
                <xdr:rowOff>152400</xdr:rowOff>
              </to>
            </anchor>
          </controlPr>
        </control>
      </mc:Choice>
      <mc:Fallback>
        <control shapeId="2053" r:id="rId11" name="CommandButton4"/>
      </mc:Fallback>
    </mc:AlternateContent>
    <mc:AlternateContent xmlns:mc="http://schemas.openxmlformats.org/markup-compatibility/2006">
      <mc:Choice Requires="x14">
        <control shapeId="2054" r:id="rId13" name="CommandButton5">
          <controlPr defaultSize="0" autoLine="0" r:id="rId14">
            <anchor moveWithCells="1">
              <from>
                <xdr:col>0</xdr:col>
                <xdr:colOff>457200</xdr:colOff>
                <xdr:row>28</xdr:row>
                <xdr:rowOff>0</xdr:rowOff>
              </from>
              <to>
                <xdr:col>2</xdr:col>
                <xdr:colOff>561975</xdr:colOff>
                <xdr:row>29</xdr:row>
                <xdr:rowOff>133350</xdr:rowOff>
              </to>
            </anchor>
          </controlPr>
        </control>
      </mc:Choice>
      <mc:Fallback>
        <control shapeId="2054" r:id="rId13" name="CommandButton5"/>
      </mc:Fallback>
    </mc:AlternateContent>
    <mc:AlternateContent xmlns:mc="http://schemas.openxmlformats.org/markup-compatibility/2006">
      <mc:Choice Requires="x14">
        <control shapeId="2055" r:id="rId15" name="CommandButton6">
          <controlPr defaultSize="0" autoLine="0" r:id="rId16">
            <anchor moveWithCells="1">
              <from>
                <xdr:col>0</xdr:col>
                <xdr:colOff>581025</xdr:colOff>
                <xdr:row>23</xdr:row>
                <xdr:rowOff>104775</xdr:rowOff>
              </from>
              <to>
                <xdr:col>2</xdr:col>
                <xdr:colOff>438150</xdr:colOff>
                <xdr:row>25</xdr:row>
                <xdr:rowOff>9525</xdr:rowOff>
              </to>
            </anchor>
          </controlPr>
        </control>
      </mc:Choice>
      <mc:Fallback>
        <control shapeId="2055" r:id="rId15" name="CommandButton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385"/>
  <sheetViews>
    <sheetView showGridLines="0" workbookViewId="0">
      <selection activeCell="M2" sqref="M2"/>
    </sheetView>
  </sheetViews>
  <sheetFormatPr defaultRowHeight="15" x14ac:dyDescent="0.25"/>
  <cols>
    <col min="4" max="4" width="0" hidden="1" customWidth="1"/>
    <col min="5" max="5" width="10.7109375" hidden="1" customWidth="1"/>
    <col min="6" max="8" width="9.140625" hidden="1" customWidth="1"/>
    <col min="12" max="12" width="24.85546875" customWidth="1"/>
    <col min="13" max="13" width="12" customWidth="1"/>
    <col min="14" max="14" width="15.85546875" customWidth="1"/>
    <col min="15" max="15" width="19.140625" customWidth="1"/>
    <col min="16" max="16" width="19.42578125" customWidth="1"/>
    <col min="17" max="17" width="15.85546875" customWidth="1"/>
    <col min="18" max="18" width="15.5703125" hidden="1" customWidth="1"/>
    <col min="19" max="19" width="13.42578125" hidden="1" customWidth="1"/>
    <col min="20" max="21" width="12" hidden="1" customWidth="1"/>
    <col min="22" max="22" width="8.42578125" hidden="1" customWidth="1"/>
    <col min="23" max="23" width="8.5703125" hidden="1" customWidth="1"/>
    <col min="24" max="24" width="12" hidden="1" customWidth="1"/>
    <col min="25" max="84" width="12" bestFit="1" customWidth="1"/>
    <col min="85" max="85" width="19.42578125" bestFit="1" customWidth="1"/>
    <col min="86" max="156" width="12" bestFit="1" customWidth="1"/>
    <col min="157" max="157" width="19.140625" bestFit="1" customWidth="1"/>
    <col min="158" max="228" width="12" bestFit="1" customWidth="1"/>
    <col min="229" max="229" width="28" bestFit="1" customWidth="1"/>
    <col min="230" max="230" width="24.42578125" bestFit="1" customWidth="1"/>
    <col min="231" max="231" width="24.140625" bestFit="1" customWidth="1"/>
  </cols>
  <sheetData>
    <row r="1" spans="1:24" x14ac:dyDescent="0.25">
      <c r="A1" s="19" t="s">
        <v>198</v>
      </c>
      <c r="B1" s="19"/>
      <c r="C1" s="19"/>
      <c r="E1" t="s">
        <v>2</v>
      </c>
      <c r="F1" t="s">
        <v>135</v>
      </c>
      <c r="G1" t="s">
        <v>136</v>
      </c>
      <c r="H1" t="s">
        <v>137</v>
      </c>
      <c r="I1" t="s">
        <v>3</v>
      </c>
      <c r="J1" t="s">
        <v>138</v>
      </c>
      <c r="L1" s="20" t="s">
        <v>195</v>
      </c>
      <c r="M1" s="21"/>
      <c r="N1" s="21"/>
      <c r="O1" s="21"/>
      <c r="P1" s="21"/>
      <c r="Q1" s="21"/>
      <c r="S1" t="s">
        <v>2</v>
      </c>
      <c r="T1" t="s">
        <v>135</v>
      </c>
      <c r="U1" t="s">
        <v>136</v>
      </c>
      <c r="V1" t="s">
        <v>137</v>
      </c>
      <c r="W1" t="s">
        <v>3</v>
      </c>
      <c r="X1" t="s">
        <v>138</v>
      </c>
    </row>
    <row r="2" spans="1:24" x14ac:dyDescent="0.25">
      <c r="D2">
        <v>34273</v>
      </c>
      <c r="E2" s="3">
        <v>42056</v>
      </c>
      <c r="F2">
        <v>14.207707967999999</v>
      </c>
      <c r="G2">
        <v>0.85480074839999998</v>
      </c>
      <c r="H2">
        <v>0.29608653734000001</v>
      </c>
      <c r="I2" t="s">
        <v>25</v>
      </c>
      <c r="J2" t="s">
        <v>26</v>
      </c>
      <c r="L2" s="4" t="s">
        <v>3</v>
      </c>
      <c r="M2" t="s">
        <v>42</v>
      </c>
      <c r="R2">
        <v>34081</v>
      </c>
      <c r="S2" s="3">
        <v>42054</v>
      </c>
      <c r="T2">
        <v>16.342807524000001</v>
      </c>
      <c r="U2">
        <v>0.79828669448</v>
      </c>
      <c r="V2">
        <v>0.54107039813000002</v>
      </c>
      <c r="W2" t="s">
        <v>25</v>
      </c>
      <c r="X2" t="s">
        <v>26</v>
      </c>
    </row>
    <row r="3" spans="1:24" x14ac:dyDescent="0.25">
      <c r="D3">
        <v>34274</v>
      </c>
      <c r="E3" s="3">
        <v>42056</v>
      </c>
      <c r="F3">
        <v>14.207707967999999</v>
      </c>
      <c r="G3">
        <v>0.85480074839999998</v>
      </c>
      <c r="H3">
        <v>0.29608653734000001</v>
      </c>
      <c r="I3" t="s">
        <v>25</v>
      </c>
      <c r="J3" t="s">
        <v>27</v>
      </c>
      <c r="R3">
        <v>34082</v>
      </c>
      <c r="S3" s="3">
        <v>42054</v>
      </c>
      <c r="T3">
        <v>16.342807524000001</v>
      </c>
      <c r="U3">
        <v>0.79828669448</v>
      </c>
      <c r="V3">
        <v>0.54107039813000002</v>
      </c>
      <c r="W3" t="s">
        <v>25</v>
      </c>
      <c r="X3" t="s">
        <v>27</v>
      </c>
    </row>
    <row r="4" spans="1:24" x14ac:dyDescent="0.25">
      <c r="D4">
        <v>34275</v>
      </c>
      <c r="E4" s="3">
        <v>42056</v>
      </c>
      <c r="F4">
        <v>14.207707967999999</v>
      </c>
      <c r="G4">
        <v>0.85480074839999998</v>
      </c>
      <c r="H4">
        <v>0.29608653734000001</v>
      </c>
      <c r="I4" t="s">
        <v>25</v>
      </c>
      <c r="J4" t="s">
        <v>28</v>
      </c>
      <c r="L4" s="4" t="s">
        <v>133</v>
      </c>
      <c r="R4">
        <v>34083</v>
      </c>
      <c r="S4" s="3">
        <v>42054</v>
      </c>
      <c r="T4">
        <v>16.342807524000001</v>
      </c>
      <c r="U4">
        <v>0.79828669448</v>
      </c>
      <c r="V4">
        <v>0.54107039813000002</v>
      </c>
      <c r="W4" t="s">
        <v>25</v>
      </c>
      <c r="X4" t="s">
        <v>28</v>
      </c>
    </row>
    <row r="5" spans="1:24" x14ac:dyDescent="0.25">
      <c r="D5">
        <v>34276</v>
      </c>
      <c r="E5" s="3">
        <v>42056</v>
      </c>
      <c r="F5">
        <v>14.207707967999999</v>
      </c>
      <c r="G5">
        <v>0.85480074839999998</v>
      </c>
      <c r="H5">
        <v>0.29608653734000001</v>
      </c>
      <c r="I5" t="s">
        <v>25</v>
      </c>
      <c r="J5" t="s">
        <v>29</v>
      </c>
      <c r="L5" s="5" t="s">
        <v>139</v>
      </c>
      <c r="M5" s="7"/>
      <c r="R5">
        <v>34084</v>
      </c>
      <c r="S5" s="3">
        <v>42054</v>
      </c>
      <c r="T5">
        <v>16.342807524000001</v>
      </c>
      <c r="U5">
        <v>0.79828669448</v>
      </c>
      <c r="V5">
        <v>0.54107039813000002</v>
      </c>
      <c r="W5" t="s">
        <v>25</v>
      </c>
      <c r="X5" t="s">
        <v>29</v>
      </c>
    </row>
    <row r="6" spans="1:24" x14ac:dyDescent="0.25">
      <c r="D6">
        <v>34277</v>
      </c>
      <c r="E6" s="3">
        <v>42056</v>
      </c>
      <c r="F6">
        <v>13.802872375</v>
      </c>
      <c r="G6">
        <v>0.85200540389000001</v>
      </c>
      <c r="H6">
        <v>0.32796055480000003</v>
      </c>
      <c r="I6" t="s">
        <v>25</v>
      </c>
      <c r="J6" t="s">
        <v>30</v>
      </c>
      <c r="L6" s="8">
        <v>42054</v>
      </c>
      <c r="M6" s="7">
        <v>14.121015467500001</v>
      </c>
      <c r="R6">
        <v>34085</v>
      </c>
      <c r="S6" s="3">
        <v>42054</v>
      </c>
      <c r="T6">
        <v>15.799508455</v>
      </c>
      <c r="U6">
        <v>0.81765597942000001</v>
      </c>
      <c r="V6">
        <v>0.54898144198999999</v>
      </c>
      <c r="W6" t="s">
        <v>25</v>
      </c>
      <c r="X6" t="s">
        <v>30</v>
      </c>
    </row>
    <row r="7" spans="1:24" x14ac:dyDescent="0.25">
      <c r="D7">
        <v>34278</v>
      </c>
      <c r="E7" s="3">
        <v>42056</v>
      </c>
      <c r="F7">
        <v>13.802872375</v>
      </c>
      <c r="G7">
        <v>0.85200540389000001</v>
      </c>
      <c r="H7">
        <v>0.32796055480000003</v>
      </c>
      <c r="I7" t="s">
        <v>25</v>
      </c>
      <c r="J7" t="s">
        <v>31</v>
      </c>
      <c r="L7" s="8">
        <v>42055</v>
      </c>
      <c r="M7" s="7">
        <v>15.187347227</v>
      </c>
      <c r="R7">
        <v>34086</v>
      </c>
      <c r="S7" s="3">
        <v>42054</v>
      </c>
      <c r="T7">
        <v>15.799508455</v>
      </c>
      <c r="U7">
        <v>0.81765597942000001</v>
      </c>
      <c r="V7">
        <v>0.54898144198999999</v>
      </c>
      <c r="W7" t="s">
        <v>25</v>
      </c>
      <c r="X7" t="s">
        <v>31</v>
      </c>
    </row>
    <row r="8" spans="1:24" x14ac:dyDescent="0.25">
      <c r="D8">
        <v>34279</v>
      </c>
      <c r="E8" s="3">
        <v>42056</v>
      </c>
      <c r="F8">
        <v>13.802872375</v>
      </c>
      <c r="G8">
        <v>0.85200540389000001</v>
      </c>
      <c r="H8">
        <v>0.32796055480000003</v>
      </c>
      <c r="I8" t="s">
        <v>25</v>
      </c>
      <c r="J8" t="s">
        <v>32</v>
      </c>
      <c r="L8" s="8">
        <v>42056</v>
      </c>
      <c r="M8" s="7">
        <v>12.744853708000001</v>
      </c>
      <c r="R8">
        <v>34087</v>
      </c>
      <c r="S8" s="3">
        <v>42054</v>
      </c>
      <c r="T8">
        <v>15.799508455</v>
      </c>
      <c r="U8">
        <v>0.81765597942000001</v>
      </c>
      <c r="V8">
        <v>0.54898144198999999</v>
      </c>
      <c r="W8" t="s">
        <v>25</v>
      </c>
      <c r="X8" t="s">
        <v>32</v>
      </c>
    </row>
    <row r="9" spans="1:24" x14ac:dyDescent="0.25">
      <c r="D9">
        <v>34280</v>
      </c>
      <c r="E9" s="3">
        <v>42056</v>
      </c>
      <c r="F9">
        <v>13.802872375</v>
      </c>
      <c r="G9">
        <v>0.85200540389000001</v>
      </c>
      <c r="H9">
        <v>0.32796055480000003</v>
      </c>
      <c r="I9" t="s">
        <v>25</v>
      </c>
      <c r="J9" t="s">
        <v>33</v>
      </c>
      <c r="L9" s="8">
        <v>42057</v>
      </c>
      <c r="M9" s="7">
        <v>13.815111541499999</v>
      </c>
      <c r="R9">
        <v>34088</v>
      </c>
      <c r="S9" s="3">
        <v>42054</v>
      </c>
      <c r="T9">
        <v>15.799508455</v>
      </c>
      <c r="U9">
        <v>0.81765597942000001</v>
      </c>
      <c r="V9">
        <v>0.54898144198999999</v>
      </c>
      <c r="W9" t="s">
        <v>25</v>
      </c>
      <c r="X9" t="s">
        <v>33</v>
      </c>
    </row>
    <row r="10" spans="1:24" x14ac:dyDescent="0.25">
      <c r="D10">
        <v>34281</v>
      </c>
      <c r="E10" s="3">
        <v>42056</v>
      </c>
      <c r="F10">
        <v>14.090987919</v>
      </c>
      <c r="G10">
        <v>0.76601944423000001</v>
      </c>
      <c r="H10">
        <v>0.35948153826000001</v>
      </c>
      <c r="I10" t="s">
        <v>25</v>
      </c>
      <c r="J10" t="s">
        <v>34</v>
      </c>
      <c r="L10" s="5" t="s">
        <v>140</v>
      </c>
      <c r="M10" s="7"/>
      <c r="R10">
        <v>34089</v>
      </c>
      <c r="S10" s="3">
        <v>42054</v>
      </c>
      <c r="T10">
        <v>14.093914982999999</v>
      </c>
      <c r="U10">
        <v>0.87745919626000002</v>
      </c>
      <c r="V10">
        <v>0.57793805709000001</v>
      </c>
      <c r="W10" t="s">
        <v>25</v>
      </c>
      <c r="X10" t="s">
        <v>34</v>
      </c>
    </row>
    <row r="11" spans="1:24" x14ac:dyDescent="0.25">
      <c r="D11">
        <v>34282</v>
      </c>
      <c r="E11" s="3">
        <v>42056</v>
      </c>
      <c r="F11">
        <v>14.090987919</v>
      </c>
      <c r="G11">
        <v>0.76601944423000001</v>
      </c>
      <c r="H11">
        <v>0.35948153826000001</v>
      </c>
      <c r="I11" t="s">
        <v>25</v>
      </c>
      <c r="J11" t="s">
        <v>35</v>
      </c>
      <c r="L11" s="8">
        <v>42054</v>
      </c>
      <c r="M11" s="7">
        <v>0.86466495427000001</v>
      </c>
      <c r="R11">
        <v>34090</v>
      </c>
      <c r="S11" s="3">
        <v>42054</v>
      </c>
      <c r="T11">
        <v>14.093914982999999</v>
      </c>
      <c r="U11">
        <v>0.87745919626000002</v>
      </c>
      <c r="V11">
        <v>0.57793805709000001</v>
      </c>
      <c r="W11" t="s">
        <v>25</v>
      </c>
      <c r="X11" t="s">
        <v>35</v>
      </c>
    </row>
    <row r="12" spans="1:24" x14ac:dyDescent="0.25">
      <c r="D12">
        <v>34283</v>
      </c>
      <c r="E12" s="3">
        <v>42056</v>
      </c>
      <c r="F12">
        <v>14.090987919</v>
      </c>
      <c r="G12">
        <v>0.76601944423000001</v>
      </c>
      <c r="H12">
        <v>0.35948153826000001</v>
      </c>
      <c r="I12" t="s">
        <v>25</v>
      </c>
      <c r="J12" t="s">
        <v>36</v>
      </c>
      <c r="L12" s="8">
        <v>42055</v>
      </c>
      <c r="M12" s="7">
        <v>0.86519676239499987</v>
      </c>
      <c r="R12">
        <v>34091</v>
      </c>
      <c r="S12" s="3">
        <v>42054</v>
      </c>
      <c r="T12">
        <v>14.093914982999999</v>
      </c>
      <c r="U12">
        <v>0.87745919626000002</v>
      </c>
      <c r="V12">
        <v>0.57793805709000001</v>
      </c>
      <c r="W12" t="s">
        <v>25</v>
      </c>
      <c r="X12" t="s">
        <v>36</v>
      </c>
    </row>
    <row r="13" spans="1:24" x14ac:dyDescent="0.25">
      <c r="D13">
        <v>34284</v>
      </c>
      <c r="E13" s="3">
        <v>42056</v>
      </c>
      <c r="F13">
        <v>14.090987919</v>
      </c>
      <c r="G13">
        <v>0.76601944423000001</v>
      </c>
      <c r="H13">
        <v>0.35948153826000001</v>
      </c>
      <c r="I13" t="s">
        <v>25</v>
      </c>
      <c r="J13" t="s">
        <v>37</v>
      </c>
      <c r="L13" s="8">
        <v>42056</v>
      </c>
      <c r="M13" s="7">
        <v>0.81767780971999982</v>
      </c>
      <c r="R13">
        <v>34092</v>
      </c>
      <c r="S13" s="3">
        <v>42054</v>
      </c>
      <c r="T13">
        <v>14.093914982999999</v>
      </c>
      <c r="U13">
        <v>0.87745919626000002</v>
      </c>
      <c r="V13">
        <v>0.57793805709000001</v>
      </c>
      <c r="W13" t="s">
        <v>25</v>
      </c>
      <c r="X13" t="s">
        <v>37</v>
      </c>
    </row>
    <row r="14" spans="1:24" x14ac:dyDescent="0.25">
      <c r="D14">
        <v>34285</v>
      </c>
      <c r="E14" s="3">
        <v>42056</v>
      </c>
      <c r="F14">
        <v>12.47655337</v>
      </c>
      <c r="G14">
        <v>0.82156173273999999</v>
      </c>
      <c r="H14">
        <v>0.27426833693000002</v>
      </c>
      <c r="I14" t="s">
        <v>25</v>
      </c>
      <c r="J14" t="s">
        <v>38</v>
      </c>
      <c r="L14" s="8">
        <v>42057</v>
      </c>
      <c r="M14" s="7">
        <v>0.93093059613999996</v>
      </c>
      <c r="R14">
        <v>34093</v>
      </c>
      <c r="S14" s="3">
        <v>42054</v>
      </c>
      <c r="T14">
        <v>14.603408658999999</v>
      </c>
      <c r="U14">
        <v>0.87921375891999998</v>
      </c>
      <c r="V14">
        <v>0.41256335301000002</v>
      </c>
      <c r="W14" t="s">
        <v>25</v>
      </c>
      <c r="X14" t="s">
        <v>38</v>
      </c>
    </row>
    <row r="15" spans="1:24" x14ac:dyDescent="0.25">
      <c r="D15">
        <v>34286</v>
      </c>
      <c r="E15" s="3">
        <v>42056</v>
      </c>
      <c r="F15">
        <v>12.47655337</v>
      </c>
      <c r="G15">
        <v>0.82156173273999999</v>
      </c>
      <c r="H15">
        <v>0.27426833693000002</v>
      </c>
      <c r="I15" t="s">
        <v>25</v>
      </c>
      <c r="J15" t="s">
        <v>39</v>
      </c>
      <c r="L15" s="5" t="s">
        <v>141</v>
      </c>
      <c r="M15" s="7"/>
      <c r="R15">
        <v>34094</v>
      </c>
      <c r="S15" s="3">
        <v>42054</v>
      </c>
      <c r="T15">
        <v>14.603408658999999</v>
      </c>
      <c r="U15">
        <v>0.87921375891999998</v>
      </c>
      <c r="V15">
        <v>0.41256335301000002</v>
      </c>
      <c r="W15" t="s">
        <v>25</v>
      </c>
      <c r="X15" t="s">
        <v>39</v>
      </c>
    </row>
    <row r="16" spans="1:24" x14ac:dyDescent="0.25">
      <c r="D16">
        <v>34287</v>
      </c>
      <c r="E16" s="3">
        <v>42056</v>
      </c>
      <c r="F16">
        <v>12.47655337</v>
      </c>
      <c r="G16">
        <v>0.82156173273999999</v>
      </c>
      <c r="H16">
        <v>0.27426833693000002</v>
      </c>
      <c r="I16" t="s">
        <v>25</v>
      </c>
      <c r="J16" t="s">
        <v>40</v>
      </c>
      <c r="L16" s="8">
        <v>42054</v>
      </c>
      <c r="M16" s="7">
        <v>0.529575511025</v>
      </c>
      <c r="R16">
        <v>34095</v>
      </c>
      <c r="S16" s="3">
        <v>42054</v>
      </c>
      <c r="T16">
        <v>14.603408658999999</v>
      </c>
      <c r="U16">
        <v>0.87921375891999998</v>
      </c>
      <c r="V16">
        <v>0.41256335301000002</v>
      </c>
      <c r="W16" t="s">
        <v>25</v>
      </c>
      <c r="X16" t="s">
        <v>40</v>
      </c>
    </row>
    <row r="17" spans="4:24" x14ac:dyDescent="0.25">
      <c r="D17">
        <v>34288</v>
      </c>
      <c r="E17" s="3">
        <v>42056</v>
      </c>
      <c r="F17">
        <v>12.47655337</v>
      </c>
      <c r="G17">
        <v>0.82156173273999999</v>
      </c>
      <c r="H17">
        <v>0.27426833693000002</v>
      </c>
      <c r="I17" t="s">
        <v>25</v>
      </c>
      <c r="J17" t="s">
        <v>41</v>
      </c>
      <c r="L17" s="8">
        <v>42055</v>
      </c>
      <c r="M17" s="7">
        <v>0.83705505513999989</v>
      </c>
      <c r="R17">
        <v>34096</v>
      </c>
      <c r="S17" s="3">
        <v>42054</v>
      </c>
      <c r="T17">
        <v>14.603408658999999</v>
      </c>
      <c r="U17">
        <v>0.87921375891999998</v>
      </c>
      <c r="V17">
        <v>0.41256335301000002</v>
      </c>
      <c r="W17" t="s">
        <v>25</v>
      </c>
      <c r="X17" t="s">
        <v>41</v>
      </c>
    </row>
    <row r="18" spans="4:24" x14ac:dyDescent="0.25">
      <c r="D18">
        <v>34289</v>
      </c>
      <c r="E18" s="3">
        <v>42056</v>
      </c>
      <c r="F18">
        <v>12.744853708000001</v>
      </c>
      <c r="G18">
        <v>0.81705786451999995</v>
      </c>
      <c r="H18">
        <v>0.32319258312999999</v>
      </c>
      <c r="I18" t="s">
        <v>42</v>
      </c>
      <c r="J18" t="s">
        <v>43</v>
      </c>
      <c r="L18" s="8">
        <v>42056</v>
      </c>
      <c r="M18" s="7">
        <v>0.33249544790999996</v>
      </c>
      <c r="R18">
        <v>34097</v>
      </c>
      <c r="S18" s="3">
        <v>42054</v>
      </c>
      <c r="T18">
        <v>14.238504316</v>
      </c>
      <c r="U18">
        <v>0.87663301051999998</v>
      </c>
      <c r="V18">
        <v>0.47910987352000001</v>
      </c>
      <c r="W18" t="s">
        <v>42</v>
      </c>
      <c r="X18" t="s">
        <v>43</v>
      </c>
    </row>
    <row r="19" spans="4:24" x14ac:dyDescent="0.25">
      <c r="D19">
        <v>34290</v>
      </c>
      <c r="E19" s="3">
        <v>42056</v>
      </c>
      <c r="F19">
        <v>12.744853708000001</v>
      </c>
      <c r="G19">
        <v>0.81705786451999995</v>
      </c>
      <c r="H19">
        <v>0.32319258312999999</v>
      </c>
      <c r="I19" t="s">
        <v>42</v>
      </c>
      <c r="J19" t="s">
        <v>44</v>
      </c>
      <c r="L19" s="8">
        <v>42057</v>
      </c>
      <c r="M19" s="7">
        <v>7.8147298185000005E-2</v>
      </c>
      <c r="R19">
        <v>34098</v>
      </c>
      <c r="S19" s="3">
        <v>42054</v>
      </c>
      <c r="T19">
        <v>14.238504316</v>
      </c>
      <c r="U19">
        <v>0.87663301051999998</v>
      </c>
      <c r="V19">
        <v>0.47910987352000001</v>
      </c>
      <c r="W19" t="s">
        <v>42</v>
      </c>
      <c r="X19" t="s">
        <v>44</v>
      </c>
    </row>
    <row r="20" spans="4:24" x14ac:dyDescent="0.25">
      <c r="D20">
        <v>34291</v>
      </c>
      <c r="E20" s="3">
        <v>42056</v>
      </c>
      <c r="F20">
        <v>12.744853708000001</v>
      </c>
      <c r="G20">
        <v>0.81705786451999995</v>
      </c>
      <c r="H20">
        <v>0.32319258312999999</v>
      </c>
      <c r="I20" t="s">
        <v>42</v>
      </c>
      <c r="J20" t="s">
        <v>45</v>
      </c>
      <c r="R20">
        <v>34099</v>
      </c>
      <c r="S20" s="3">
        <v>42054</v>
      </c>
      <c r="T20">
        <v>14.238504316</v>
      </c>
      <c r="U20">
        <v>0.87663301051999998</v>
      </c>
      <c r="V20">
        <v>0.47910987352000001</v>
      </c>
      <c r="W20" t="s">
        <v>42</v>
      </c>
      <c r="X20" t="s">
        <v>45</v>
      </c>
    </row>
    <row r="21" spans="4:24" x14ac:dyDescent="0.25">
      <c r="D21">
        <v>34292</v>
      </c>
      <c r="E21" s="3">
        <v>42056</v>
      </c>
      <c r="F21">
        <v>12.744853708000001</v>
      </c>
      <c r="G21">
        <v>0.81705786451999995</v>
      </c>
      <c r="H21">
        <v>0.32319258312999999</v>
      </c>
      <c r="I21" t="s">
        <v>42</v>
      </c>
      <c r="J21" t="s">
        <v>46</v>
      </c>
      <c r="L21" s="20" t="s">
        <v>196</v>
      </c>
      <c r="M21" s="21"/>
      <c r="N21" s="21"/>
      <c r="O21" s="21"/>
      <c r="P21" s="21"/>
      <c r="Q21" s="21"/>
      <c r="R21">
        <v>34100</v>
      </c>
      <c r="S21" s="3">
        <v>42054</v>
      </c>
      <c r="T21">
        <v>14.238504316</v>
      </c>
      <c r="U21">
        <v>0.87663301051999998</v>
      </c>
      <c r="V21">
        <v>0.47910987352000001</v>
      </c>
      <c r="W21" t="s">
        <v>42</v>
      </c>
      <c r="X21" t="s">
        <v>46</v>
      </c>
    </row>
    <row r="22" spans="4:24" x14ac:dyDescent="0.25">
      <c r="D22">
        <v>34293</v>
      </c>
      <c r="E22" s="3">
        <v>42056</v>
      </c>
      <c r="F22">
        <v>12.744853708000001</v>
      </c>
      <c r="G22">
        <v>0.81829775492000001</v>
      </c>
      <c r="H22">
        <v>0.34179831268999999</v>
      </c>
      <c r="I22" t="s">
        <v>42</v>
      </c>
      <c r="J22" t="s">
        <v>47</v>
      </c>
      <c r="L22" s="4" t="s">
        <v>3</v>
      </c>
      <c r="M22" t="s">
        <v>109</v>
      </c>
      <c r="R22">
        <v>34101</v>
      </c>
      <c r="S22" s="3">
        <v>42054</v>
      </c>
      <c r="T22">
        <v>14.003526619000001</v>
      </c>
      <c r="U22">
        <v>0.85269689802000004</v>
      </c>
      <c r="V22">
        <v>0.58004114852999999</v>
      </c>
      <c r="W22" t="s">
        <v>42</v>
      </c>
      <c r="X22" t="s">
        <v>47</v>
      </c>
    </row>
    <row r="23" spans="4:24" x14ac:dyDescent="0.25">
      <c r="D23">
        <v>34294</v>
      </c>
      <c r="E23" s="3">
        <v>42056</v>
      </c>
      <c r="F23">
        <v>12.744853708000001</v>
      </c>
      <c r="G23">
        <v>0.81829775492000001</v>
      </c>
      <c r="H23">
        <v>0.34179831268999999</v>
      </c>
      <c r="I23" t="s">
        <v>42</v>
      </c>
      <c r="J23" t="s">
        <v>49</v>
      </c>
      <c r="R23">
        <v>34102</v>
      </c>
      <c r="S23" s="3">
        <v>42054</v>
      </c>
      <c r="T23">
        <v>14.003526619000001</v>
      </c>
      <c r="U23">
        <v>0.85269689802000004</v>
      </c>
      <c r="V23">
        <v>0.58004114852999999</v>
      </c>
      <c r="W23" t="s">
        <v>42</v>
      </c>
      <c r="X23" t="s">
        <v>49</v>
      </c>
    </row>
    <row r="24" spans="4:24" x14ac:dyDescent="0.25">
      <c r="D24">
        <v>34295</v>
      </c>
      <c r="E24" s="3">
        <v>42056</v>
      </c>
      <c r="F24">
        <v>12.744853708000001</v>
      </c>
      <c r="G24">
        <v>0.81829775492000001</v>
      </c>
      <c r="H24">
        <v>0.34179831268999999</v>
      </c>
      <c r="I24" t="s">
        <v>42</v>
      </c>
      <c r="J24" t="s">
        <v>50</v>
      </c>
      <c r="L24" s="4" t="s">
        <v>133</v>
      </c>
      <c r="R24">
        <v>34103</v>
      </c>
      <c r="S24" s="3">
        <v>42054</v>
      </c>
      <c r="T24">
        <v>14.003526619000001</v>
      </c>
      <c r="U24">
        <v>0.85269689802000004</v>
      </c>
      <c r="V24">
        <v>0.58004114852999999</v>
      </c>
      <c r="W24" t="s">
        <v>42</v>
      </c>
      <c r="X24" t="s">
        <v>50</v>
      </c>
    </row>
    <row r="25" spans="4:24" x14ac:dyDescent="0.25">
      <c r="D25">
        <v>34296</v>
      </c>
      <c r="E25" s="3">
        <v>42056</v>
      </c>
      <c r="F25">
        <v>12.744853708000001</v>
      </c>
      <c r="G25">
        <v>0.81829775492000001</v>
      </c>
      <c r="H25">
        <v>0.34179831268999999</v>
      </c>
      <c r="I25" t="s">
        <v>42</v>
      </c>
      <c r="J25" t="s">
        <v>51</v>
      </c>
      <c r="L25" s="5" t="s">
        <v>139</v>
      </c>
      <c r="M25" s="7"/>
      <c r="R25">
        <v>34104</v>
      </c>
      <c r="S25" s="3">
        <v>42054</v>
      </c>
      <c r="T25">
        <v>14.003526619000001</v>
      </c>
      <c r="U25">
        <v>0.85269689802000004</v>
      </c>
      <c r="V25">
        <v>0.58004114852999999</v>
      </c>
      <c r="W25" t="s">
        <v>42</v>
      </c>
      <c r="X25" t="s">
        <v>51</v>
      </c>
    </row>
    <row r="26" spans="4:24" x14ac:dyDescent="0.25">
      <c r="D26">
        <v>34297</v>
      </c>
      <c r="E26" s="3">
        <v>42056</v>
      </c>
      <c r="F26">
        <v>13.149689301</v>
      </c>
      <c r="G26">
        <v>0.80348520555000003</v>
      </c>
      <c r="H26">
        <v>0.38663208573000002</v>
      </c>
      <c r="I26" t="s">
        <v>52</v>
      </c>
      <c r="J26" t="s">
        <v>53</v>
      </c>
      <c r="L26" s="8">
        <v>42052</v>
      </c>
      <c r="M26" s="7">
        <v>20.647079907999995</v>
      </c>
      <c r="R26">
        <v>34105</v>
      </c>
      <c r="S26" s="3">
        <v>42054</v>
      </c>
      <c r="T26">
        <v>13.90220498</v>
      </c>
      <c r="U26">
        <v>0.84777875661000002</v>
      </c>
      <c r="V26">
        <v>0.72083311793000004</v>
      </c>
      <c r="W26" t="s">
        <v>52</v>
      </c>
      <c r="X26" t="s">
        <v>53</v>
      </c>
    </row>
    <row r="27" spans="4:24" x14ac:dyDescent="0.25">
      <c r="D27">
        <v>34298</v>
      </c>
      <c r="E27" s="3">
        <v>42056</v>
      </c>
      <c r="F27">
        <v>13.149689301</v>
      </c>
      <c r="G27">
        <v>0.80348520555000003</v>
      </c>
      <c r="H27">
        <v>0.38663208573000002</v>
      </c>
      <c r="I27" t="s">
        <v>52</v>
      </c>
      <c r="J27" t="s">
        <v>54</v>
      </c>
      <c r="L27" s="8">
        <v>42053</v>
      </c>
      <c r="M27" s="7">
        <v>19.519686449499996</v>
      </c>
      <c r="R27">
        <v>34106</v>
      </c>
      <c r="S27" s="3">
        <v>42054</v>
      </c>
      <c r="T27">
        <v>13.90220498</v>
      </c>
      <c r="U27">
        <v>0.84777875661000002</v>
      </c>
      <c r="V27">
        <v>0.72083311793000004</v>
      </c>
      <c r="W27" t="s">
        <v>52</v>
      </c>
      <c r="X27" t="s">
        <v>54</v>
      </c>
    </row>
    <row r="28" spans="4:24" x14ac:dyDescent="0.25">
      <c r="D28">
        <v>34299</v>
      </c>
      <c r="E28" s="3">
        <v>42056</v>
      </c>
      <c r="F28">
        <v>13.149689301</v>
      </c>
      <c r="G28">
        <v>0.80348520555000003</v>
      </c>
      <c r="H28">
        <v>0.38663208573000002</v>
      </c>
      <c r="I28" t="s">
        <v>52</v>
      </c>
      <c r="J28" t="s">
        <v>55</v>
      </c>
      <c r="L28" s="8">
        <v>42054</v>
      </c>
      <c r="M28" s="7">
        <v>19.615211380166667</v>
      </c>
      <c r="R28">
        <v>34107</v>
      </c>
      <c r="S28" s="3">
        <v>42054</v>
      </c>
      <c r="T28">
        <v>13.90220498</v>
      </c>
      <c r="U28">
        <v>0.84777875661000002</v>
      </c>
      <c r="V28">
        <v>0.72083311793000004</v>
      </c>
      <c r="W28" t="s">
        <v>52</v>
      </c>
      <c r="X28" t="s">
        <v>55</v>
      </c>
    </row>
    <row r="29" spans="4:24" x14ac:dyDescent="0.25">
      <c r="D29">
        <v>34300</v>
      </c>
      <c r="E29" s="3">
        <v>42056</v>
      </c>
      <c r="F29">
        <v>13.149689301</v>
      </c>
      <c r="G29">
        <v>0.80348520555000003</v>
      </c>
      <c r="H29">
        <v>0.38663208573000002</v>
      </c>
      <c r="I29" t="s">
        <v>52</v>
      </c>
      <c r="J29" t="s">
        <v>56</v>
      </c>
      <c r="L29" s="8">
        <v>42055</v>
      </c>
      <c r="M29" s="7">
        <v>19.187254750666668</v>
      </c>
      <c r="R29">
        <v>34108</v>
      </c>
      <c r="S29" s="3">
        <v>42054</v>
      </c>
      <c r="T29">
        <v>13.90220498</v>
      </c>
      <c r="U29">
        <v>0.84777875661000002</v>
      </c>
      <c r="V29">
        <v>0.72083311793000004</v>
      </c>
      <c r="W29" t="s">
        <v>52</v>
      </c>
      <c r="X29" t="s">
        <v>56</v>
      </c>
    </row>
    <row r="30" spans="4:24" x14ac:dyDescent="0.25">
      <c r="D30">
        <v>34301</v>
      </c>
      <c r="E30" s="3">
        <v>42056</v>
      </c>
      <c r="F30">
        <v>13.695587593999999</v>
      </c>
      <c r="G30">
        <v>0.77450871980000002</v>
      </c>
      <c r="H30">
        <v>0.30650493387</v>
      </c>
      <c r="I30" t="s">
        <v>52</v>
      </c>
      <c r="J30" t="s">
        <v>57</v>
      </c>
      <c r="L30" s="5" t="s">
        <v>140</v>
      </c>
      <c r="M30" s="7"/>
      <c r="R30">
        <v>34109</v>
      </c>
      <c r="S30" s="3">
        <v>42054</v>
      </c>
      <c r="T30">
        <v>14.582747553000001</v>
      </c>
      <c r="U30">
        <v>0.83210062951999997</v>
      </c>
      <c r="V30">
        <v>0.72095254887000004</v>
      </c>
      <c r="W30" t="s">
        <v>52</v>
      </c>
      <c r="X30" t="s">
        <v>57</v>
      </c>
    </row>
    <row r="31" spans="4:24" x14ac:dyDescent="0.25">
      <c r="D31">
        <v>34302</v>
      </c>
      <c r="E31" s="3">
        <v>42056</v>
      </c>
      <c r="F31">
        <v>13.695587593999999</v>
      </c>
      <c r="G31">
        <v>0.77450871980000002</v>
      </c>
      <c r="H31">
        <v>0.30650493387</v>
      </c>
      <c r="I31" t="s">
        <v>52</v>
      </c>
      <c r="J31" t="s">
        <v>58</v>
      </c>
      <c r="L31" s="8">
        <v>42052</v>
      </c>
      <c r="M31" s="7">
        <v>0.6728282131533333</v>
      </c>
      <c r="R31">
        <v>34110</v>
      </c>
      <c r="S31" s="3">
        <v>42054</v>
      </c>
      <c r="T31">
        <v>14.582747553000001</v>
      </c>
      <c r="U31">
        <v>0.83210062951999997</v>
      </c>
      <c r="V31">
        <v>0.72095254887000004</v>
      </c>
      <c r="W31" t="s">
        <v>52</v>
      </c>
      <c r="X31" t="s">
        <v>58</v>
      </c>
    </row>
    <row r="32" spans="4:24" x14ac:dyDescent="0.25">
      <c r="D32">
        <v>34303</v>
      </c>
      <c r="E32" s="3">
        <v>42056</v>
      </c>
      <c r="F32">
        <v>13.695587593999999</v>
      </c>
      <c r="G32">
        <v>0.77450871980000002</v>
      </c>
      <c r="H32">
        <v>0.30650493387</v>
      </c>
      <c r="I32" t="s">
        <v>52</v>
      </c>
      <c r="J32" t="s">
        <v>59</v>
      </c>
      <c r="L32" s="8">
        <v>42053</v>
      </c>
      <c r="M32" s="7">
        <v>0.74359413715666645</v>
      </c>
      <c r="R32">
        <v>34111</v>
      </c>
      <c r="S32" s="3">
        <v>42054</v>
      </c>
      <c r="T32">
        <v>14.582747553000001</v>
      </c>
      <c r="U32">
        <v>0.83210062951999997</v>
      </c>
      <c r="V32">
        <v>0.72095254887000004</v>
      </c>
      <c r="W32" t="s">
        <v>52</v>
      </c>
      <c r="X32" t="s">
        <v>59</v>
      </c>
    </row>
    <row r="33" spans="4:24" x14ac:dyDescent="0.25">
      <c r="D33">
        <v>34304</v>
      </c>
      <c r="E33" s="3">
        <v>42056</v>
      </c>
      <c r="F33">
        <v>13.695587593999999</v>
      </c>
      <c r="G33">
        <v>0.77450871980000002</v>
      </c>
      <c r="H33">
        <v>0.30650493387</v>
      </c>
      <c r="I33" t="s">
        <v>52</v>
      </c>
      <c r="J33" t="s">
        <v>60</v>
      </c>
      <c r="L33" s="8">
        <v>42054</v>
      </c>
      <c r="M33" s="7">
        <v>0.64177093528500007</v>
      </c>
      <c r="R33">
        <v>34112</v>
      </c>
      <c r="S33" s="3">
        <v>42054</v>
      </c>
      <c r="T33">
        <v>14.582747553000001</v>
      </c>
      <c r="U33">
        <v>0.83210062951999997</v>
      </c>
      <c r="V33">
        <v>0.72095254887000004</v>
      </c>
      <c r="W33" t="s">
        <v>52</v>
      </c>
      <c r="X33" t="s">
        <v>60</v>
      </c>
    </row>
    <row r="34" spans="4:24" x14ac:dyDescent="0.25">
      <c r="D34">
        <v>34305</v>
      </c>
      <c r="E34" s="3">
        <v>42056</v>
      </c>
      <c r="F34">
        <v>14.204726397</v>
      </c>
      <c r="G34">
        <v>0.80300334279999996</v>
      </c>
      <c r="H34">
        <v>7.6479078549999996E-2</v>
      </c>
      <c r="I34" t="s">
        <v>61</v>
      </c>
      <c r="J34" t="s">
        <v>62</v>
      </c>
      <c r="L34" s="8">
        <v>42055</v>
      </c>
      <c r="M34" s="7">
        <v>0.66313056614999988</v>
      </c>
      <c r="R34">
        <v>34113</v>
      </c>
      <c r="S34" s="3">
        <v>42054</v>
      </c>
      <c r="T34">
        <v>15.006508189</v>
      </c>
      <c r="U34">
        <v>0.81727385211000003</v>
      </c>
      <c r="V34">
        <v>0.76557672290000001</v>
      </c>
      <c r="W34" t="s">
        <v>61</v>
      </c>
      <c r="X34" t="s">
        <v>62</v>
      </c>
    </row>
    <row r="35" spans="4:24" x14ac:dyDescent="0.25">
      <c r="D35">
        <v>34306</v>
      </c>
      <c r="E35" s="3">
        <v>42056</v>
      </c>
      <c r="F35">
        <v>14.204726397</v>
      </c>
      <c r="G35">
        <v>0.80300334279999996</v>
      </c>
      <c r="H35">
        <v>7.6479078549999996E-2</v>
      </c>
      <c r="I35" t="s">
        <v>61</v>
      </c>
      <c r="J35" t="s">
        <v>63</v>
      </c>
      <c r="L35" s="5" t="s">
        <v>141</v>
      </c>
      <c r="M35" s="7"/>
      <c r="R35">
        <v>34114</v>
      </c>
      <c r="S35" s="3">
        <v>42054</v>
      </c>
      <c r="T35">
        <v>15.006508189</v>
      </c>
      <c r="U35">
        <v>0.81727385211000003</v>
      </c>
      <c r="V35">
        <v>0.76557672290000001</v>
      </c>
      <c r="W35" t="s">
        <v>61</v>
      </c>
      <c r="X35" t="s">
        <v>63</v>
      </c>
    </row>
    <row r="36" spans="4:24" x14ac:dyDescent="0.25">
      <c r="D36">
        <v>34307</v>
      </c>
      <c r="E36" s="3">
        <v>42056</v>
      </c>
      <c r="F36">
        <v>14.204726397</v>
      </c>
      <c r="G36">
        <v>0.80300334279999996</v>
      </c>
      <c r="H36">
        <v>7.6479078549999996E-2</v>
      </c>
      <c r="I36" t="s">
        <v>61</v>
      </c>
      <c r="J36" t="s">
        <v>64</v>
      </c>
      <c r="L36" s="8">
        <v>42052</v>
      </c>
      <c r="M36" s="7">
        <v>0.27141003374</v>
      </c>
      <c r="R36">
        <v>34115</v>
      </c>
      <c r="S36" s="3">
        <v>42054</v>
      </c>
      <c r="T36">
        <v>15.006508189</v>
      </c>
      <c r="U36">
        <v>0.81727385211000003</v>
      </c>
      <c r="V36">
        <v>0.76557672290000001</v>
      </c>
      <c r="W36" t="s">
        <v>61</v>
      </c>
      <c r="X36" t="s">
        <v>64</v>
      </c>
    </row>
    <row r="37" spans="4:24" x14ac:dyDescent="0.25">
      <c r="D37">
        <v>34308</v>
      </c>
      <c r="E37" s="3">
        <v>42056</v>
      </c>
      <c r="F37">
        <v>14.204726397</v>
      </c>
      <c r="G37">
        <v>0.80300334279999996</v>
      </c>
      <c r="H37">
        <v>7.6479078549999996E-2</v>
      </c>
      <c r="I37" t="s">
        <v>61</v>
      </c>
      <c r="J37" t="s">
        <v>65</v>
      </c>
      <c r="L37" s="8">
        <v>42053</v>
      </c>
      <c r="M37" s="7">
        <v>0.53305897477833342</v>
      </c>
      <c r="R37">
        <v>34116</v>
      </c>
      <c r="S37" s="3">
        <v>42054</v>
      </c>
      <c r="T37">
        <v>15.006508189</v>
      </c>
      <c r="U37">
        <v>0.81727385211000003</v>
      </c>
      <c r="V37">
        <v>0.76557672290000001</v>
      </c>
      <c r="W37" t="s">
        <v>61</v>
      </c>
      <c r="X37" t="s">
        <v>65</v>
      </c>
    </row>
    <row r="38" spans="4:24" x14ac:dyDescent="0.25">
      <c r="D38">
        <v>34309</v>
      </c>
      <c r="E38" s="3">
        <v>42056</v>
      </c>
      <c r="F38">
        <v>17.204726394000001</v>
      </c>
      <c r="G38">
        <v>0.73248794851999999</v>
      </c>
      <c r="H38">
        <v>6.5929252660000007E-2</v>
      </c>
      <c r="I38" t="s">
        <v>66</v>
      </c>
      <c r="J38" t="s">
        <v>67</v>
      </c>
      <c r="L38" s="8">
        <v>42054</v>
      </c>
      <c r="M38" s="7">
        <v>0.95951589722833341</v>
      </c>
      <c r="R38">
        <v>34117</v>
      </c>
      <c r="S38" s="3">
        <v>42054</v>
      </c>
      <c r="T38">
        <v>16.006508188000002</v>
      </c>
      <c r="U38">
        <v>0.76987986349000004</v>
      </c>
      <c r="V38">
        <v>0.80662075900999997</v>
      </c>
      <c r="W38" t="s">
        <v>66</v>
      </c>
      <c r="X38" t="s">
        <v>67</v>
      </c>
    </row>
    <row r="39" spans="4:24" x14ac:dyDescent="0.25">
      <c r="D39">
        <v>34310</v>
      </c>
      <c r="E39" s="3">
        <v>42056</v>
      </c>
      <c r="F39">
        <v>17.204726394000001</v>
      </c>
      <c r="G39">
        <v>0.73248794851999999</v>
      </c>
      <c r="H39">
        <v>6.5929252660000007E-2</v>
      </c>
      <c r="I39" t="s">
        <v>66</v>
      </c>
      <c r="J39" t="s">
        <v>68</v>
      </c>
      <c r="L39" s="8">
        <v>42055</v>
      </c>
      <c r="M39" s="7">
        <v>0.45145634737833329</v>
      </c>
      <c r="R39">
        <v>34118</v>
      </c>
      <c r="S39" s="3">
        <v>42054</v>
      </c>
      <c r="T39">
        <v>16.006508188000002</v>
      </c>
      <c r="U39">
        <v>0.76987986349000004</v>
      </c>
      <c r="V39">
        <v>0.80662075900999997</v>
      </c>
      <c r="W39" t="s">
        <v>66</v>
      </c>
      <c r="X39" t="s">
        <v>68</v>
      </c>
    </row>
    <row r="40" spans="4:24" x14ac:dyDescent="0.25">
      <c r="D40">
        <v>34311</v>
      </c>
      <c r="E40" s="3">
        <v>42056</v>
      </c>
      <c r="F40">
        <v>17.204726394000001</v>
      </c>
      <c r="G40">
        <v>0.73248794851999999</v>
      </c>
      <c r="H40">
        <v>6.5929252660000007E-2</v>
      </c>
      <c r="I40" t="s">
        <v>66</v>
      </c>
      <c r="J40" t="s">
        <v>69</v>
      </c>
      <c r="R40">
        <v>34119</v>
      </c>
      <c r="S40" s="3">
        <v>42054</v>
      </c>
      <c r="T40">
        <v>16.006508188000002</v>
      </c>
      <c r="U40">
        <v>0.76987986349000004</v>
      </c>
      <c r="V40">
        <v>0.80662075900999997</v>
      </c>
      <c r="W40" t="s">
        <v>66</v>
      </c>
      <c r="X40" t="s">
        <v>69</v>
      </c>
    </row>
    <row r="41" spans="4:24" x14ac:dyDescent="0.25">
      <c r="D41">
        <v>34312</v>
      </c>
      <c r="E41" s="3">
        <v>42056</v>
      </c>
      <c r="F41">
        <v>17.204726394000001</v>
      </c>
      <c r="G41">
        <v>0.73248794851999999</v>
      </c>
      <c r="H41">
        <v>6.5929252660000007E-2</v>
      </c>
      <c r="I41" t="s">
        <v>66</v>
      </c>
      <c r="J41" t="s">
        <v>70</v>
      </c>
      <c r="R41">
        <v>34120</v>
      </c>
      <c r="S41" s="3">
        <v>42054</v>
      </c>
      <c r="T41">
        <v>16.006508188000002</v>
      </c>
      <c r="U41">
        <v>0.76987986349000004</v>
      </c>
      <c r="V41">
        <v>0.80662075900999997</v>
      </c>
      <c r="W41" t="s">
        <v>66</v>
      </c>
      <c r="X41" t="s">
        <v>70</v>
      </c>
    </row>
    <row r="42" spans="4:24" x14ac:dyDescent="0.25">
      <c r="D42">
        <v>34313</v>
      </c>
      <c r="E42" s="3">
        <v>42056</v>
      </c>
      <c r="F42">
        <v>19.376130161999999</v>
      </c>
      <c r="G42">
        <v>0.66621016060000005</v>
      </c>
      <c r="H42">
        <v>4.9399343509999999E-2</v>
      </c>
      <c r="I42" t="s">
        <v>71</v>
      </c>
      <c r="J42" t="s">
        <v>72</v>
      </c>
      <c r="R42">
        <v>34121</v>
      </c>
      <c r="S42" s="3">
        <v>42054</v>
      </c>
      <c r="T42">
        <v>17.935527617000002</v>
      </c>
      <c r="U42">
        <v>0.69686718250000002</v>
      </c>
      <c r="V42">
        <v>0.84281228082000004</v>
      </c>
      <c r="W42" t="s">
        <v>71</v>
      </c>
      <c r="X42" t="s">
        <v>72</v>
      </c>
    </row>
    <row r="43" spans="4:24" x14ac:dyDescent="0.25">
      <c r="D43">
        <v>34314</v>
      </c>
      <c r="E43" s="3">
        <v>42056</v>
      </c>
      <c r="F43">
        <v>19.376130161999999</v>
      </c>
      <c r="G43">
        <v>0.66621016060000005</v>
      </c>
      <c r="H43">
        <v>4.9399343509999999E-2</v>
      </c>
      <c r="I43" t="s">
        <v>71</v>
      </c>
      <c r="J43" t="s">
        <v>73</v>
      </c>
      <c r="R43">
        <v>34122</v>
      </c>
      <c r="S43" s="3">
        <v>42054</v>
      </c>
      <c r="T43">
        <v>17.935527617000002</v>
      </c>
      <c r="U43">
        <v>0.69686718250000002</v>
      </c>
      <c r="V43">
        <v>0.84281228082000004</v>
      </c>
      <c r="W43" t="s">
        <v>71</v>
      </c>
      <c r="X43" t="s">
        <v>73</v>
      </c>
    </row>
    <row r="44" spans="4:24" x14ac:dyDescent="0.25">
      <c r="D44">
        <v>34315</v>
      </c>
      <c r="E44" s="3">
        <v>42056</v>
      </c>
      <c r="F44">
        <v>19.376130161999999</v>
      </c>
      <c r="G44">
        <v>0.66621016060000005</v>
      </c>
      <c r="H44">
        <v>4.9399343509999999E-2</v>
      </c>
      <c r="I44" t="s">
        <v>71</v>
      </c>
      <c r="J44" t="s">
        <v>74</v>
      </c>
      <c r="R44">
        <v>34123</v>
      </c>
      <c r="S44" s="3">
        <v>42054</v>
      </c>
      <c r="T44">
        <v>17.935527617000002</v>
      </c>
      <c r="U44">
        <v>0.69686718250000002</v>
      </c>
      <c r="V44">
        <v>0.84281228082000004</v>
      </c>
      <c r="W44" t="s">
        <v>71</v>
      </c>
      <c r="X44" t="s">
        <v>74</v>
      </c>
    </row>
    <row r="45" spans="4:24" x14ac:dyDescent="0.25">
      <c r="D45">
        <v>34316</v>
      </c>
      <c r="E45" s="3">
        <v>42056</v>
      </c>
      <c r="F45">
        <v>19.376130161999999</v>
      </c>
      <c r="G45">
        <v>0.66621016060000005</v>
      </c>
      <c r="H45">
        <v>4.9399343509999999E-2</v>
      </c>
      <c r="I45" t="s">
        <v>71</v>
      </c>
      <c r="J45" t="s">
        <v>75</v>
      </c>
      <c r="R45">
        <v>34124</v>
      </c>
      <c r="S45" s="3">
        <v>42054</v>
      </c>
      <c r="T45">
        <v>17.935527617000002</v>
      </c>
      <c r="U45">
        <v>0.69686718250000002</v>
      </c>
      <c r="V45">
        <v>0.84281228082000004</v>
      </c>
      <c r="W45" t="s">
        <v>71</v>
      </c>
      <c r="X45" t="s">
        <v>75</v>
      </c>
    </row>
    <row r="46" spans="4:24" x14ac:dyDescent="0.25">
      <c r="D46">
        <v>34317</v>
      </c>
      <c r="E46" s="3">
        <v>42056</v>
      </c>
      <c r="F46">
        <v>22.044548457000001</v>
      </c>
      <c r="G46">
        <v>0.60691996635000001</v>
      </c>
      <c r="H46">
        <v>3.989200465E-2</v>
      </c>
      <c r="I46" t="s">
        <v>71</v>
      </c>
      <c r="J46" t="s">
        <v>76</v>
      </c>
      <c r="R46">
        <v>34125</v>
      </c>
      <c r="S46" s="3">
        <v>42054</v>
      </c>
      <c r="T46">
        <v>19.690869954</v>
      </c>
      <c r="U46">
        <v>0.63663075578999995</v>
      </c>
      <c r="V46">
        <v>0.84921939810000002</v>
      </c>
      <c r="W46" t="s">
        <v>71</v>
      </c>
      <c r="X46" t="s">
        <v>76</v>
      </c>
    </row>
    <row r="47" spans="4:24" x14ac:dyDescent="0.25">
      <c r="D47">
        <v>34318</v>
      </c>
      <c r="E47" s="3">
        <v>42056</v>
      </c>
      <c r="F47">
        <v>22.044548457000001</v>
      </c>
      <c r="G47">
        <v>0.60691996635000001</v>
      </c>
      <c r="H47">
        <v>3.989200465E-2</v>
      </c>
      <c r="I47" t="s">
        <v>71</v>
      </c>
      <c r="J47" t="s">
        <v>77</v>
      </c>
      <c r="R47">
        <v>34126</v>
      </c>
      <c r="S47" s="3">
        <v>42054</v>
      </c>
      <c r="T47">
        <v>19.690869954</v>
      </c>
      <c r="U47">
        <v>0.63663075578999995</v>
      </c>
      <c r="V47">
        <v>0.84921939810000002</v>
      </c>
      <c r="W47" t="s">
        <v>71</v>
      </c>
      <c r="X47" t="s">
        <v>77</v>
      </c>
    </row>
    <row r="48" spans="4:24" x14ac:dyDescent="0.25">
      <c r="D48">
        <v>34319</v>
      </c>
      <c r="E48" s="3">
        <v>42056</v>
      </c>
      <c r="F48">
        <v>22.044548457000001</v>
      </c>
      <c r="G48">
        <v>0.60691996635000001</v>
      </c>
      <c r="H48">
        <v>3.989200465E-2</v>
      </c>
      <c r="I48" t="s">
        <v>71</v>
      </c>
      <c r="J48" t="s">
        <v>78</v>
      </c>
      <c r="R48">
        <v>34127</v>
      </c>
      <c r="S48" s="3">
        <v>42054</v>
      </c>
      <c r="T48">
        <v>19.690869954</v>
      </c>
      <c r="U48">
        <v>0.63663075578999995</v>
      </c>
      <c r="V48">
        <v>0.84921939810000002</v>
      </c>
      <c r="W48" t="s">
        <v>71</v>
      </c>
      <c r="X48" t="s">
        <v>78</v>
      </c>
    </row>
    <row r="49" spans="4:24" x14ac:dyDescent="0.25">
      <c r="D49">
        <v>34320</v>
      </c>
      <c r="E49" s="3">
        <v>42056</v>
      </c>
      <c r="F49">
        <v>22.044548457000001</v>
      </c>
      <c r="G49">
        <v>0.60691996635000001</v>
      </c>
      <c r="H49">
        <v>3.989200465E-2</v>
      </c>
      <c r="I49" t="s">
        <v>71</v>
      </c>
      <c r="J49" t="s">
        <v>79</v>
      </c>
      <c r="R49">
        <v>34128</v>
      </c>
      <c r="S49" s="3">
        <v>42054</v>
      </c>
      <c r="T49">
        <v>19.690869954</v>
      </c>
      <c r="U49">
        <v>0.63663075578999995</v>
      </c>
      <c r="V49">
        <v>0.84921939810000002</v>
      </c>
      <c r="W49" t="s">
        <v>71</v>
      </c>
      <c r="X49" t="s">
        <v>79</v>
      </c>
    </row>
    <row r="50" spans="4:24" x14ac:dyDescent="0.25">
      <c r="D50">
        <v>34321</v>
      </c>
      <c r="E50" s="3">
        <v>42056</v>
      </c>
      <c r="F50">
        <v>23.204726388000001</v>
      </c>
      <c r="G50">
        <v>0.56792419839999997</v>
      </c>
      <c r="H50">
        <v>3.5893272019999999E-2</v>
      </c>
      <c r="I50" t="s">
        <v>80</v>
      </c>
      <c r="J50" t="s">
        <v>81</v>
      </c>
      <c r="R50">
        <v>34129</v>
      </c>
      <c r="S50" s="3">
        <v>42054</v>
      </c>
      <c r="T50">
        <v>21.325965609000001</v>
      </c>
      <c r="U50">
        <v>0.59604756549000004</v>
      </c>
      <c r="V50">
        <v>0.85242295674000002</v>
      </c>
      <c r="W50" t="s">
        <v>80</v>
      </c>
      <c r="X50" t="s">
        <v>81</v>
      </c>
    </row>
    <row r="51" spans="4:24" x14ac:dyDescent="0.25">
      <c r="D51">
        <v>34322</v>
      </c>
      <c r="E51" s="3">
        <v>42056</v>
      </c>
      <c r="F51">
        <v>23.204726388000001</v>
      </c>
      <c r="G51">
        <v>0.56792419839999997</v>
      </c>
      <c r="H51">
        <v>3.5893272019999999E-2</v>
      </c>
      <c r="I51" t="s">
        <v>80</v>
      </c>
      <c r="J51" t="s">
        <v>82</v>
      </c>
      <c r="R51">
        <v>34130</v>
      </c>
      <c r="S51" s="3">
        <v>42054</v>
      </c>
      <c r="T51">
        <v>21.325965609000001</v>
      </c>
      <c r="U51">
        <v>0.59604756549000004</v>
      </c>
      <c r="V51">
        <v>0.85242295674000002</v>
      </c>
      <c r="W51" t="s">
        <v>80</v>
      </c>
      <c r="X51" t="s">
        <v>82</v>
      </c>
    </row>
    <row r="52" spans="4:24" x14ac:dyDescent="0.25">
      <c r="D52">
        <v>34323</v>
      </c>
      <c r="E52" s="3">
        <v>42056</v>
      </c>
      <c r="F52">
        <v>23.204726388000001</v>
      </c>
      <c r="G52">
        <v>0.56792419839999997</v>
      </c>
      <c r="H52">
        <v>3.5893272019999999E-2</v>
      </c>
      <c r="I52" t="s">
        <v>80</v>
      </c>
      <c r="J52" t="s">
        <v>83</v>
      </c>
      <c r="R52">
        <v>34131</v>
      </c>
      <c r="S52" s="3">
        <v>42054</v>
      </c>
      <c r="T52">
        <v>21.325965609000001</v>
      </c>
      <c r="U52">
        <v>0.59604756549000004</v>
      </c>
      <c r="V52">
        <v>0.85242295674000002</v>
      </c>
      <c r="W52" t="s">
        <v>80</v>
      </c>
      <c r="X52" t="s">
        <v>83</v>
      </c>
    </row>
    <row r="53" spans="4:24" x14ac:dyDescent="0.25">
      <c r="D53">
        <v>34324</v>
      </c>
      <c r="E53" s="3">
        <v>42056</v>
      </c>
      <c r="F53">
        <v>23.204726388000001</v>
      </c>
      <c r="G53">
        <v>0.56792419839999997</v>
      </c>
      <c r="H53">
        <v>3.5893272019999999E-2</v>
      </c>
      <c r="I53" t="s">
        <v>80</v>
      </c>
      <c r="J53" t="s">
        <v>84</v>
      </c>
      <c r="R53">
        <v>34132</v>
      </c>
      <c r="S53" s="3">
        <v>42054</v>
      </c>
      <c r="T53">
        <v>21.325965609000001</v>
      </c>
      <c r="U53">
        <v>0.59604756549000004</v>
      </c>
      <c r="V53">
        <v>0.85242295674000002</v>
      </c>
      <c r="W53" t="s">
        <v>80</v>
      </c>
      <c r="X53" t="s">
        <v>84</v>
      </c>
    </row>
    <row r="54" spans="4:24" x14ac:dyDescent="0.25">
      <c r="D54">
        <v>34325</v>
      </c>
      <c r="E54" s="3">
        <v>42056</v>
      </c>
      <c r="F54">
        <v>24.011225813999999</v>
      </c>
      <c r="G54">
        <v>0.54595482419999997</v>
      </c>
      <c r="H54">
        <v>4.2111683939999998E-2</v>
      </c>
      <c r="I54" t="s">
        <v>80</v>
      </c>
      <c r="J54" t="s">
        <v>85</v>
      </c>
      <c r="R54">
        <v>34133</v>
      </c>
      <c r="S54" s="3">
        <v>42054</v>
      </c>
      <c r="T54">
        <v>22.364005883000001</v>
      </c>
      <c r="U54">
        <v>0.55938229230000003</v>
      </c>
      <c r="V54">
        <v>0.85242295674000002</v>
      </c>
      <c r="W54" t="s">
        <v>80</v>
      </c>
      <c r="X54" t="s">
        <v>85</v>
      </c>
    </row>
    <row r="55" spans="4:24" x14ac:dyDescent="0.25">
      <c r="D55">
        <v>34326</v>
      </c>
      <c r="E55" s="3">
        <v>42056</v>
      </c>
      <c r="F55">
        <v>24.011225813999999</v>
      </c>
      <c r="G55">
        <v>0.54595482419999997</v>
      </c>
      <c r="H55">
        <v>4.2111683939999998E-2</v>
      </c>
      <c r="I55" t="s">
        <v>80</v>
      </c>
      <c r="J55" t="s">
        <v>86</v>
      </c>
      <c r="R55">
        <v>34134</v>
      </c>
      <c r="S55" s="3">
        <v>42054</v>
      </c>
      <c r="T55">
        <v>22.364005883000001</v>
      </c>
      <c r="U55">
        <v>0.55938229230000003</v>
      </c>
      <c r="V55">
        <v>0.85242295674000002</v>
      </c>
      <c r="W55" t="s">
        <v>80</v>
      </c>
      <c r="X55" t="s">
        <v>86</v>
      </c>
    </row>
    <row r="56" spans="4:24" x14ac:dyDescent="0.25">
      <c r="D56">
        <v>34327</v>
      </c>
      <c r="E56" s="3">
        <v>42056</v>
      </c>
      <c r="F56">
        <v>24.011225813999999</v>
      </c>
      <c r="G56">
        <v>0.54595482419999997</v>
      </c>
      <c r="H56">
        <v>4.2111683939999998E-2</v>
      </c>
      <c r="I56" t="s">
        <v>80</v>
      </c>
      <c r="J56" t="s">
        <v>87</v>
      </c>
      <c r="R56">
        <v>34135</v>
      </c>
      <c r="S56" s="3">
        <v>42054</v>
      </c>
      <c r="T56">
        <v>22.364005883000001</v>
      </c>
      <c r="U56">
        <v>0.55938229230000003</v>
      </c>
      <c r="V56">
        <v>0.85242295674000002</v>
      </c>
      <c r="W56" t="s">
        <v>80</v>
      </c>
      <c r="X56" t="s">
        <v>87</v>
      </c>
    </row>
    <row r="57" spans="4:24" x14ac:dyDescent="0.25">
      <c r="D57">
        <v>34328</v>
      </c>
      <c r="E57" s="3">
        <v>42056</v>
      </c>
      <c r="F57">
        <v>24.011225813999999</v>
      </c>
      <c r="G57">
        <v>0.54595482419999997</v>
      </c>
      <c r="H57">
        <v>4.2111683939999998E-2</v>
      </c>
      <c r="I57" t="s">
        <v>80</v>
      </c>
      <c r="J57" t="s">
        <v>88</v>
      </c>
      <c r="R57">
        <v>34136</v>
      </c>
      <c r="S57" s="3">
        <v>42054</v>
      </c>
      <c r="T57">
        <v>22.364005883000001</v>
      </c>
      <c r="U57">
        <v>0.55938229230000003</v>
      </c>
      <c r="V57">
        <v>0.85242295674000002</v>
      </c>
      <c r="W57" t="s">
        <v>80</v>
      </c>
      <c r="X57" t="s">
        <v>88</v>
      </c>
    </row>
    <row r="58" spans="4:24" x14ac:dyDescent="0.25">
      <c r="D58">
        <v>34329</v>
      </c>
      <c r="E58" s="3">
        <v>42056</v>
      </c>
      <c r="F58">
        <v>24.011225813999999</v>
      </c>
      <c r="G58">
        <v>0.54698887192000001</v>
      </c>
      <c r="H58">
        <v>3.7877901050000003E-2</v>
      </c>
      <c r="I58" t="s">
        <v>89</v>
      </c>
      <c r="J58" t="s">
        <v>90</v>
      </c>
      <c r="R58">
        <v>34137</v>
      </c>
      <c r="S58" s="3">
        <v>42054</v>
      </c>
      <c r="T58">
        <v>23.081307945999999</v>
      </c>
      <c r="U58">
        <v>0.54150007412000001</v>
      </c>
      <c r="V58">
        <v>0.85242295674000002</v>
      </c>
      <c r="W58" t="s">
        <v>89</v>
      </c>
      <c r="X58" t="s">
        <v>90</v>
      </c>
    </row>
    <row r="59" spans="4:24" x14ac:dyDescent="0.25">
      <c r="D59">
        <v>34330</v>
      </c>
      <c r="E59" s="3">
        <v>42056</v>
      </c>
      <c r="F59">
        <v>24.011225813999999</v>
      </c>
      <c r="G59">
        <v>0.54698887192000001</v>
      </c>
      <c r="H59">
        <v>3.7877901050000003E-2</v>
      </c>
      <c r="I59" t="s">
        <v>89</v>
      </c>
      <c r="J59" t="s">
        <v>91</v>
      </c>
      <c r="R59">
        <v>34138</v>
      </c>
      <c r="S59" s="3">
        <v>42054</v>
      </c>
      <c r="T59">
        <v>23.081307945999999</v>
      </c>
      <c r="U59">
        <v>0.54150007412000001</v>
      </c>
      <c r="V59">
        <v>0.85242295674000002</v>
      </c>
      <c r="W59" t="s">
        <v>89</v>
      </c>
      <c r="X59" t="s">
        <v>91</v>
      </c>
    </row>
    <row r="60" spans="4:24" x14ac:dyDescent="0.25">
      <c r="D60">
        <v>34331</v>
      </c>
      <c r="E60" s="3">
        <v>42056</v>
      </c>
      <c r="F60">
        <v>24.011225813999999</v>
      </c>
      <c r="G60">
        <v>0.54698887192000001</v>
      </c>
      <c r="H60">
        <v>3.7877901050000003E-2</v>
      </c>
      <c r="I60" t="s">
        <v>89</v>
      </c>
      <c r="J60" t="s">
        <v>92</v>
      </c>
      <c r="R60">
        <v>34139</v>
      </c>
      <c r="S60" s="3">
        <v>42054</v>
      </c>
      <c r="T60">
        <v>23.081307945999999</v>
      </c>
      <c r="U60">
        <v>0.54150007412000001</v>
      </c>
      <c r="V60">
        <v>0.85242295674000002</v>
      </c>
      <c r="W60" t="s">
        <v>89</v>
      </c>
      <c r="X60" t="s">
        <v>92</v>
      </c>
    </row>
    <row r="61" spans="4:24" x14ac:dyDescent="0.25">
      <c r="D61">
        <v>34332</v>
      </c>
      <c r="E61" s="3">
        <v>42056</v>
      </c>
      <c r="F61">
        <v>24.011225813999999</v>
      </c>
      <c r="G61">
        <v>0.54698887192000001</v>
      </c>
      <c r="H61">
        <v>3.7877901050000003E-2</v>
      </c>
      <c r="I61" t="s">
        <v>89</v>
      </c>
      <c r="J61" t="s">
        <v>93</v>
      </c>
      <c r="R61">
        <v>34140</v>
      </c>
      <c r="S61" s="3">
        <v>42054</v>
      </c>
      <c r="T61">
        <v>23.081307945999999</v>
      </c>
      <c r="U61">
        <v>0.54150007412000001</v>
      </c>
      <c r="V61">
        <v>0.85242295674000002</v>
      </c>
      <c r="W61" t="s">
        <v>89</v>
      </c>
      <c r="X61" t="s">
        <v>93</v>
      </c>
    </row>
    <row r="62" spans="4:24" x14ac:dyDescent="0.25">
      <c r="D62">
        <v>34333</v>
      </c>
      <c r="E62" s="3">
        <v>42056</v>
      </c>
      <c r="F62">
        <v>23.999999976000002</v>
      </c>
      <c r="G62">
        <v>0.55749943873999996</v>
      </c>
      <c r="H62">
        <v>3.1926256989999999E-2</v>
      </c>
      <c r="I62" t="s">
        <v>89</v>
      </c>
      <c r="J62" t="s">
        <v>94</v>
      </c>
      <c r="R62">
        <v>34141</v>
      </c>
      <c r="S62" s="3">
        <v>42054</v>
      </c>
      <c r="T62">
        <v>23.818107588</v>
      </c>
      <c r="U62">
        <v>0.53049392054</v>
      </c>
      <c r="V62">
        <v>0.85242295674000002</v>
      </c>
      <c r="W62" t="s">
        <v>89</v>
      </c>
      <c r="X62" t="s">
        <v>94</v>
      </c>
    </row>
    <row r="63" spans="4:24" x14ac:dyDescent="0.25">
      <c r="D63">
        <v>34334</v>
      </c>
      <c r="E63" s="3">
        <v>42056</v>
      </c>
      <c r="F63">
        <v>23.999999976000002</v>
      </c>
      <c r="G63">
        <v>0.55749943873999996</v>
      </c>
      <c r="H63">
        <v>3.1926256989999999E-2</v>
      </c>
      <c r="I63" t="s">
        <v>89</v>
      </c>
      <c r="J63" t="s">
        <v>95</v>
      </c>
      <c r="R63">
        <v>34142</v>
      </c>
      <c r="S63" s="3">
        <v>42054</v>
      </c>
      <c r="T63">
        <v>23.818107588</v>
      </c>
      <c r="U63">
        <v>0.53049392054</v>
      </c>
      <c r="V63">
        <v>0.85242295674000002</v>
      </c>
      <c r="W63" t="s">
        <v>89</v>
      </c>
      <c r="X63" t="s">
        <v>95</v>
      </c>
    </row>
    <row r="64" spans="4:24" x14ac:dyDescent="0.25">
      <c r="D64">
        <v>34335</v>
      </c>
      <c r="E64" s="3">
        <v>42056</v>
      </c>
      <c r="F64">
        <v>23.999999976000002</v>
      </c>
      <c r="G64">
        <v>0.55749943873999996</v>
      </c>
      <c r="H64">
        <v>3.1926256989999999E-2</v>
      </c>
      <c r="I64" t="s">
        <v>89</v>
      </c>
      <c r="J64" t="s">
        <v>96</v>
      </c>
      <c r="R64">
        <v>34143</v>
      </c>
      <c r="S64" s="3">
        <v>42054</v>
      </c>
      <c r="T64">
        <v>23.818107588</v>
      </c>
      <c r="U64">
        <v>0.53049392054</v>
      </c>
      <c r="V64">
        <v>0.85242295674000002</v>
      </c>
      <c r="W64" t="s">
        <v>89</v>
      </c>
      <c r="X64" t="s">
        <v>96</v>
      </c>
    </row>
    <row r="65" spans="4:24" x14ac:dyDescent="0.25">
      <c r="D65">
        <v>34336</v>
      </c>
      <c r="E65" s="3">
        <v>42056</v>
      </c>
      <c r="F65">
        <v>23.999999976000002</v>
      </c>
      <c r="G65">
        <v>0.55749943873999996</v>
      </c>
      <c r="H65">
        <v>3.1926256989999999E-2</v>
      </c>
      <c r="I65" t="s">
        <v>89</v>
      </c>
      <c r="J65" t="s">
        <v>97</v>
      </c>
      <c r="R65">
        <v>34144</v>
      </c>
      <c r="S65" s="3">
        <v>42054</v>
      </c>
      <c r="T65">
        <v>23.818107588</v>
      </c>
      <c r="U65">
        <v>0.53049392054</v>
      </c>
      <c r="V65">
        <v>0.85242295674000002</v>
      </c>
      <c r="W65" t="s">
        <v>89</v>
      </c>
      <c r="X65" t="s">
        <v>97</v>
      </c>
    </row>
    <row r="66" spans="4:24" x14ac:dyDescent="0.25">
      <c r="D66">
        <v>34337</v>
      </c>
      <c r="E66" s="3">
        <v>42056</v>
      </c>
      <c r="F66">
        <v>23.249375272000002</v>
      </c>
      <c r="G66">
        <v>0.59327783614999996</v>
      </c>
      <c r="H66">
        <v>2.9073285389999998E-2</v>
      </c>
      <c r="I66" t="s">
        <v>89</v>
      </c>
      <c r="J66" t="s">
        <v>98</v>
      </c>
      <c r="R66">
        <v>34145</v>
      </c>
      <c r="S66" s="3">
        <v>42054</v>
      </c>
      <c r="T66">
        <v>23.138463453</v>
      </c>
      <c r="U66">
        <v>0.53457946438000004</v>
      </c>
      <c r="V66">
        <v>0.85242295674000002</v>
      </c>
      <c r="W66" t="s">
        <v>89</v>
      </c>
      <c r="X66" t="s">
        <v>98</v>
      </c>
    </row>
    <row r="67" spans="4:24" x14ac:dyDescent="0.25">
      <c r="D67">
        <v>34338</v>
      </c>
      <c r="E67" s="3">
        <v>42056</v>
      </c>
      <c r="F67">
        <v>23.249375272000002</v>
      </c>
      <c r="G67">
        <v>0.59327783614999996</v>
      </c>
      <c r="H67">
        <v>2.9073285389999998E-2</v>
      </c>
      <c r="I67" t="s">
        <v>89</v>
      </c>
      <c r="J67" t="s">
        <v>99</v>
      </c>
      <c r="R67">
        <v>34146</v>
      </c>
      <c r="S67" s="3">
        <v>42054</v>
      </c>
      <c r="T67">
        <v>23.138463453</v>
      </c>
      <c r="U67">
        <v>0.53457946438000004</v>
      </c>
      <c r="V67">
        <v>0.85242295674000002</v>
      </c>
      <c r="W67" t="s">
        <v>89</v>
      </c>
      <c r="X67" t="s">
        <v>99</v>
      </c>
    </row>
    <row r="68" spans="4:24" x14ac:dyDescent="0.25">
      <c r="D68">
        <v>34339</v>
      </c>
      <c r="E68" s="3">
        <v>42056</v>
      </c>
      <c r="F68">
        <v>23.249375272000002</v>
      </c>
      <c r="G68">
        <v>0.59327783614999996</v>
      </c>
      <c r="H68">
        <v>2.9073285389999998E-2</v>
      </c>
      <c r="I68" t="s">
        <v>89</v>
      </c>
      <c r="J68" t="s">
        <v>100</v>
      </c>
      <c r="R68">
        <v>34147</v>
      </c>
      <c r="S68" s="3">
        <v>42054</v>
      </c>
      <c r="T68">
        <v>23.138463453</v>
      </c>
      <c r="U68">
        <v>0.53457946438000004</v>
      </c>
      <c r="V68">
        <v>0.85242295674000002</v>
      </c>
      <c r="W68" t="s">
        <v>89</v>
      </c>
      <c r="X68" t="s">
        <v>100</v>
      </c>
    </row>
    <row r="69" spans="4:24" x14ac:dyDescent="0.25">
      <c r="D69">
        <v>34340</v>
      </c>
      <c r="E69" s="3">
        <v>42056</v>
      </c>
      <c r="F69">
        <v>23.249375272000002</v>
      </c>
      <c r="G69">
        <v>0.59327783614999996</v>
      </c>
      <c r="H69">
        <v>2.9073285389999998E-2</v>
      </c>
      <c r="I69" t="s">
        <v>89</v>
      </c>
      <c r="J69" t="s">
        <v>101</v>
      </c>
      <c r="R69">
        <v>34148</v>
      </c>
      <c r="S69" s="3">
        <v>42054</v>
      </c>
      <c r="T69">
        <v>23.138463453</v>
      </c>
      <c r="U69">
        <v>0.53457946438000004</v>
      </c>
      <c r="V69">
        <v>0.85242295674000002</v>
      </c>
      <c r="W69" t="s">
        <v>89</v>
      </c>
      <c r="X69" t="s">
        <v>101</v>
      </c>
    </row>
    <row r="70" spans="4:24" x14ac:dyDescent="0.25">
      <c r="D70">
        <v>34341</v>
      </c>
      <c r="E70" s="3">
        <v>42056</v>
      </c>
      <c r="F70">
        <v>22.409553205000002</v>
      </c>
      <c r="G70">
        <v>0.64219471014999996</v>
      </c>
      <c r="H70">
        <v>3.7974155619999998E-2</v>
      </c>
      <c r="I70" t="s">
        <v>102</v>
      </c>
      <c r="J70" t="s">
        <v>103</v>
      </c>
      <c r="R70">
        <v>34149</v>
      </c>
      <c r="S70" s="3">
        <v>42054</v>
      </c>
      <c r="T70">
        <v>22.368723516999999</v>
      </c>
      <c r="U70">
        <v>0.55978156165000004</v>
      </c>
      <c r="V70">
        <v>0.85082117741999996</v>
      </c>
      <c r="W70" t="s">
        <v>102</v>
      </c>
      <c r="X70" t="s">
        <v>103</v>
      </c>
    </row>
    <row r="71" spans="4:24" x14ac:dyDescent="0.25">
      <c r="D71">
        <v>34342</v>
      </c>
      <c r="E71" s="3">
        <v>42056</v>
      </c>
      <c r="F71">
        <v>22.409553205000002</v>
      </c>
      <c r="G71">
        <v>0.64219471014999996</v>
      </c>
      <c r="H71">
        <v>3.7974155619999998E-2</v>
      </c>
      <c r="I71" t="s">
        <v>102</v>
      </c>
      <c r="J71" t="s">
        <v>104</v>
      </c>
      <c r="R71">
        <v>34150</v>
      </c>
      <c r="S71" s="3">
        <v>42054</v>
      </c>
      <c r="T71">
        <v>22.368723516999999</v>
      </c>
      <c r="U71">
        <v>0.55978156165000004</v>
      </c>
      <c r="V71">
        <v>0.85082117741999996</v>
      </c>
      <c r="W71" t="s">
        <v>102</v>
      </c>
      <c r="X71" t="s">
        <v>104</v>
      </c>
    </row>
    <row r="72" spans="4:24" x14ac:dyDescent="0.25">
      <c r="D72">
        <v>34343</v>
      </c>
      <c r="E72" s="3">
        <v>42056</v>
      </c>
      <c r="F72">
        <v>22.409553205000002</v>
      </c>
      <c r="G72">
        <v>0.64219471014999996</v>
      </c>
      <c r="H72">
        <v>3.7974155619999998E-2</v>
      </c>
      <c r="I72" t="s">
        <v>102</v>
      </c>
      <c r="J72" t="s">
        <v>105</v>
      </c>
      <c r="R72">
        <v>34151</v>
      </c>
      <c r="S72" s="3">
        <v>42054</v>
      </c>
      <c r="T72">
        <v>22.368723516999999</v>
      </c>
      <c r="U72">
        <v>0.55978156165000004</v>
      </c>
      <c r="V72">
        <v>0.85082117741999996</v>
      </c>
      <c r="W72" t="s">
        <v>102</v>
      </c>
      <c r="X72" t="s">
        <v>105</v>
      </c>
    </row>
    <row r="73" spans="4:24" x14ac:dyDescent="0.25">
      <c r="D73">
        <v>34344</v>
      </c>
      <c r="E73" s="3">
        <v>42056</v>
      </c>
      <c r="F73">
        <v>22.409553205000002</v>
      </c>
      <c r="G73">
        <v>0.64219471014999996</v>
      </c>
      <c r="H73">
        <v>3.7974155619999998E-2</v>
      </c>
      <c r="I73" t="s">
        <v>102</v>
      </c>
      <c r="J73" t="s">
        <v>106</v>
      </c>
      <c r="R73">
        <v>34152</v>
      </c>
      <c r="S73" s="3">
        <v>42054</v>
      </c>
      <c r="T73">
        <v>22.368723516999999</v>
      </c>
      <c r="U73">
        <v>0.55978156165000004</v>
      </c>
      <c r="V73">
        <v>0.85082117741999996</v>
      </c>
      <c r="W73" t="s">
        <v>102</v>
      </c>
      <c r="X73" t="s">
        <v>106</v>
      </c>
    </row>
    <row r="74" spans="4:24" x14ac:dyDescent="0.25">
      <c r="D74">
        <v>34345</v>
      </c>
      <c r="E74" s="3">
        <v>42056</v>
      </c>
      <c r="F74">
        <v>21.160177911000002</v>
      </c>
      <c r="G74">
        <v>0.71152470853000005</v>
      </c>
      <c r="H74">
        <v>6.4576421280000004E-2</v>
      </c>
      <c r="I74" t="s">
        <v>102</v>
      </c>
      <c r="J74" t="s">
        <v>107</v>
      </c>
      <c r="R74">
        <v>34153</v>
      </c>
      <c r="S74" s="3">
        <v>42054</v>
      </c>
      <c r="T74">
        <v>21.209444024</v>
      </c>
      <c r="U74">
        <v>0.60041474771000003</v>
      </c>
      <c r="V74">
        <v>0.85082117741999996</v>
      </c>
      <c r="W74" t="s">
        <v>102</v>
      </c>
      <c r="X74" t="s">
        <v>107</v>
      </c>
    </row>
    <row r="75" spans="4:24" x14ac:dyDescent="0.25">
      <c r="D75">
        <v>34346</v>
      </c>
      <c r="E75" s="3">
        <v>42056</v>
      </c>
      <c r="F75">
        <v>21.160177911000002</v>
      </c>
      <c r="G75">
        <v>0.71152470853000005</v>
      </c>
      <c r="H75">
        <v>6.4576421280000004E-2</v>
      </c>
      <c r="I75" t="s">
        <v>102</v>
      </c>
      <c r="J75" t="s">
        <v>108</v>
      </c>
      <c r="R75">
        <v>34154</v>
      </c>
      <c r="S75" s="3">
        <v>42054</v>
      </c>
      <c r="T75">
        <v>21.209444024</v>
      </c>
      <c r="U75">
        <v>0.60041474771000003</v>
      </c>
      <c r="V75">
        <v>0.85082117741999996</v>
      </c>
      <c r="W75" t="s">
        <v>102</v>
      </c>
      <c r="X75" t="s">
        <v>108</v>
      </c>
    </row>
    <row r="76" spans="4:24" x14ac:dyDescent="0.25">
      <c r="D76">
        <v>34347</v>
      </c>
      <c r="E76" s="3">
        <v>42056</v>
      </c>
      <c r="F76">
        <v>21.160177911000002</v>
      </c>
      <c r="G76">
        <v>0.71152470853000005</v>
      </c>
      <c r="H76">
        <v>6.4576421280000004E-2</v>
      </c>
      <c r="I76" t="s">
        <v>109</v>
      </c>
      <c r="J76" t="s">
        <v>110</v>
      </c>
      <c r="R76">
        <v>34155</v>
      </c>
      <c r="S76" s="3">
        <v>42054</v>
      </c>
      <c r="T76">
        <v>21.209444024</v>
      </c>
      <c r="U76">
        <v>0.60041474771000003</v>
      </c>
      <c r="V76">
        <v>0.85082117741999996</v>
      </c>
      <c r="W76" t="s">
        <v>109</v>
      </c>
      <c r="X76" t="s">
        <v>110</v>
      </c>
    </row>
    <row r="77" spans="4:24" x14ac:dyDescent="0.25">
      <c r="D77">
        <v>34348</v>
      </c>
      <c r="E77" s="3">
        <v>42056</v>
      </c>
      <c r="F77">
        <v>21.160177911000002</v>
      </c>
      <c r="G77">
        <v>0.71152470853000005</v>
      </c>
      <c r="H77">
        <v>6.4576421280000004E-2</v>
      </c>
      <c r="I77" t="s">
        <v>109</v>
      </c>
      <c r="J77" t="s">
        <v>111</v>
      </c>
      <c r="R77">
        <v>34156</v>
      </c>
      <c r="S77" s="3">
        <v>42054</v>
      </c>
      <c r="T77">
        <v>21.209444024</v>
      </c>
      <c r="U77">
        <v>0.60041474771000003</v>
      </c>
      <c r="V77">
        <v>0.85082117741999996</v>
      </c>
      <c r="W77" t="s">
        <v>109</v>
      </c>
      <c r="X77" t="s">
        <v>111</v>
      </c>
    </row>
    <row r="78" spans="4:24" x14ac:dyDescent="0.25">
      <c r="D78">
        <v>34349</v>
      </c>
      <c r="E78" s="3">
        <v>42056</v>
      </c>
      <c r="F78">
        <v>19.160177912999998</v>
      </c>
      <c r="G78">
        <v>0.77410382972000003</v>
      </c>
      <c r="H78">
        <v>8.0018266879999994E-2</v>
      </c>
      <c r="I78" t="s">
        <v>109</v>
      </c>
      <c r="J78" t="s">
        <v>112</v>
      </c>
      <c r="R78">
        <v>34157</v>
      </c>
      <c r="S78" s="3">
        <v>42054</v>
      </c>
      <c r="T78">
        <v>20.209444025</v>
      </c>
      <c r="U78">
        <v>0.63098985147999997</v>
      </c>
      <c r="V78">
        <v>0.97850149369999995</v>
      </c>
      <c r="W78" t="s">
        <v>109</v>
      </c>
      <c r="X78" t="s">
        <v>112</v>
      </c>
    </row>
    <row r="79" spans="4:24" x14ac:dyDescent="0.25">
      <c r="D79">
        <v>34350</v>
      </c>
      <c r="E79" s="3">
        <v>42056</v>
      </c>
      <c r="F79">
        <v>19.160177912999998</v>
      </c>
      <c r="G79">
        <v>0.77410382972000003</v>
      </c>
      <c r="H79">
        <v>8.0018266879999994E-2</v>
      </c>
      <c r="I79" t="s">
        <v>109</v>
      </c>
      <c r="J79" t="s">
        <v>113</v>
      </c>
      <c r="R79">
        <v>34158</v>
      </c>
      <c r="S79" s="3">
        <v>42054</v>
      </c>
      <c r="T79">
        <v>20.209444025</v>
      </c>
      <c r="U79">
        <v>0.63098985147999997</v>
      </c>
      <c r="V79">
        <v>0.97850149369999995</v>
      </c>
      <c r="W79" t="s">
        <v>109</v>
      </c>
      <c r="X79" t="s">
        <v>113</v>
      </c>
    </row>
    <row r="80" spans="4:24" x14ac:dyDescent="0.25">
      <c r="D80">
        <v>34351</v>
      </c>
      <c r="E80" s="3">
        <v>42056</v>
      </c>
      <c r="F80">
        <v>19.160177912999998</v>
      </c>
      <c r="G80">
        <v>0.77410382972000003</v>
      </c>
      <c r="H80">
        <v>8.0018266879999994E-2</v>
      </c>
      <c r="I80" t="s">
        <v>109</v>
      </c>
      <c r="J80" t="s">
        <v>114</v>
      </c>
      <c r="R80">
        <v>34159</v>
      </c>
      <c r="S80" s="3">
        <v>42054</v>
      </c>
      <c r="T80">
        <v>20.209444025</v>
      </c>
      <c r="U80">
        <v>0.63098985147999997</v>
      </c>
      <c r="V80">
        <v>0.97850149369999995</v>
      </c>
      <c r="W80" t="s">
        <v>109</v>
      </c>
      <c r="X80" t="s">
        <v>114</v>
      </c>
    </row>
    <row r="81" spans="4:24" x14ac:dyDescent="0.25">
      <c r="D81">
        <v>34352</v>
      </c>
      <c r="E81" s="3">
        <v>42056</v>
      </c>
      <c r="F81">
        <v>19.160177912999998</v>
      </c>
      <c r="G81">
        <v>0.77410382972000003</v>
      </c>
      <c r="H81">
        <v>8.0018266879999994E-2</v>
      </c>
      <c r="I81" t="s">
        <v>109</v>
      </c>
      <c r="J81" t="s">
        <v>115</v>
      </c>
      <c r="R81">
        <v>34160</v>
      </c>
      <c r="S81" s="3">
        <v>42054</v>
      </c>
      <c r="T81">
        <v>20.209444025</v>
      </c>
      <c r="U81">
        <v>0.63098985147999997</v>
      </c>
      <c r="V81">
        <v>0.97850149369999995</v>
      </c>
      <c r="W81" t="s">
        <v>109</v>
      </c>
      <c r="X81" t="s">
        <v>115</v>
      </c>
    </row>
    <row r="82" spans="4:24" x14ac:dyDescent="0.25">
      <c r="D82">
        <v>34353</v>
      </c>
      <c r="E82" s="3">
        <v>42056</v>
      </c>
      <c r="F82">
        <v>17.999999981999999</v>
      </c>
      <c r="G82">
        <v>0.82801011151000004</v>
      </c>
      <c r="H82">
        <v>0.10434320647000001</v>
      </c>
      <c r="I82" t="s">
        <v>109</v>
      </c>
      <c r="J82" t="s">
        <v>116</v>
      </c>
      <c r="R82">
        <v>34161</v>
      </c>
      <c r="S82" s="3">
        <v>42054</v>
      </c>
      <c r="T82">
        <v>18.926746090000002</v>
      </c>
      <c r="U82">
        <v>0.65992110184999997</v>
      </c>
      <c r="V82">
        <v>0.98203827875000005</v>
      </c>
      <c r="W82" t="s">
        <v>109</v>
      </c>
      <c r="X82" t="s">
        <v>116</v>
      </c>
    </row>
    <row r="83" spans="4:24" x14ac:dyDescent="0.25">
      <c r="D83">
        <v>34354</v>
      </c>
      <c r="E83" s="3">
        <v>42056</v>
      </c>
      <c r="F83">
        <v>17.999999981999999</v>
      </c>
      <c r="G83">
        <v>0.82801011151000004</v>
      </c>
      <c r="H83">
        <v>0.10434320647000001</v>
      </c>
      <c r="I83" t="s">
        <v>109</v>
      </c>
      <c r="J83" t="s">
        <v>117</v>
      </c>
      <c r="R83">
        <v>34162</v>
      </c>
      <c r="S83" s="3">
        <v>42054</v>
      </c>
      <c r="T83">
        <v>18.926746090000002</v>
      </c>
      <c r="U83">
        <v>0.65992110184999997</v>
      </c>
      <c r="V83">
        <v>0.98203827875000005</v>
      </c>
      <c r="W83" t="s">
        <v>109</v>
      </c>
      <c r="X83" t="s">
        <v>117</v>
      </c>
    </row>
    <row r="84" spans="4:24" x14ac:dyDescent="0.25">
      <c r="D84">
        <v>34355</v>
      </c>
      <c r="E84" s="3">
        <v>42056</v>
      </c>
      <c r="F84">
        <v>17.999999981999999</v>
      </c>
      <c r="G84">
        <v>0.82801011151000004</v>
      </c>
      <c r="H84">
        <v>0.10434320647000001</v>
      </c>
      <c r="I84" t="s">
        <v>109</v>
      </c>
      <c r="J84" t="s">
        <v>118</v>
      </c>
      <c r="R84">
        <v>34163</v>
      </c>
      <c r="S84" s="3">
        <v>42054</v>
      </c>
      <c r="T84">
        <v>18.926746090000002</v>
      </c>
      <c r="U84">
        <v>0.65992110184999997</v>
      </c>
      <c r="V84">
        <v>0.98203827875000005</v>
      </c>
      <c r="W84" t="s">
        <v>109</v>
      </c>
      <c r="X84" t="s">
        <v>118</v>
      </c>
    </row>
    <row r="85" spans="4:24" x14ac:dyDescent="0.25">
      <c r="D85">
        <v>34356</v>
      </c>
      <c r="E85" s="3">
        <v>42056</v>
      </c>
      <c r="F85">
        <v>17.999999981999999</v>
      </c>
      <c r="G85">
        <v>0.82801011151000004</v>
      </c>
      <c r="H85">
        <v>0.10434320647000001</v>
      </c>
      <c r="I85" t="s">
        <v>109</v>
      </c>
      <c r="J85" t="s">
        <v>119</v>
      </c>
      <c r="R85">
        <v>34164</v>
      </c>
      <c r="S85" s="3">
        <v>42054</v>
      </c>
      <c r="T85">
        <v>18.926746090000002</v>
      </c>
      <c r="U85">
        <v>0.65992110184999997</v>
      </c>
      <c r="V85">
        <v>0.98203827875000005</v>
      </c>
      <c r="W85" t="s">
        <v>109</v>
      </c>
      <c r="X85" t="s">
        <v>119</v>
      </c>
    </row>
    <row r="86" spans="4:24" x14ac:dyDescent="0.25">
      <c r="D86">
        <v>34357</v>
      </c>
      <c r="E86" s="3">
        <v>42056</v>
      </c>
      <c r="F86">
        <v>17.331581685</v>
      </c>
      <c r="G86">
        <v>0.85090217289000003</v>
      </c>
      <c r="H86">
        <v>0.12055871243999999</v>
      </c>
      <c r="I86" t="s">
        <v>109</v>
      </c>
      <c r="J86" t="s">
        <v>120</v>
      </c>
      <c r="R86">
        <v>34165</v>
      </c>
      <c r="S86" s="3">
        <v>42054</v>
      </c>
      <c r="T86">
        <v>18.209444027</v>
      </c>
      <c r="U86">
        <v>0.66838895734000003</v>
      </c>
      <c r="V86">
        <v>0.98519466104999998</v>
      </c>
      <c r="W86" t="s">
        <v>109</v>
      </c>
      <c r="X86" t="s">
        <v>120</v>
      </c>
    </row>
    <row r="87" spans="4:24" x14ac:dyDescent="0.25">
      <c r="D87">
        <v>34358</v>
      </c>
      <c r="E87" s="3">
        <v>42056</v>
      </c>
      <c r="F87">
        <v>17.331581685</v>
      </c>
      <c r="G87">
        <v>0.85090217289000003</v>
      </c>
      <c r="H87">
        <v>0.12055871243999999</v>
      </c>
      <c r="I87" t="s">
        <v>109</v>
      </c>
      <c r="J87" t="s">
        <v>121</v>
      </c>
      <c r="R87">
        <v>34166</v>
      </c>
      <c r="S87" s="3">
        <v>42054</v>
      </c>
      <c r="T87">
        <v>18.209444027</v>
      </c>
      <c r="U87">
        <v>0.66838895734000003</v>
      </c>
      <c r="V87">
        <v>0.98519466104999998</v>
      </c>
      <c r="W87" t="s">
        <v>109</v>
      </c>
      <c r="X87" t="s">
        <v>121</v>
      </c>
    </row>
    <row r="88" spans="4:24" x14ac:dyDescent="0.25">
      <c r="D88">
        <v>34359</v>
      </c>
      <c r="E88" s="3">
        <v>42056</v>
      </c>
      <c r="F88">
        <v>17.331581685</v>
      </c>
      <c r="G88">
        <v>0.85090217289000003</v>
      </c>
      <c r="H88">
        <v>0.12055871243999999</v>
      </c>
      <c r="I88" t="s">
        <v>122</v>
      </c>
      <c r="J88" t="s">
        <v>123</v>
      </c>
      <c r="R88">
        <v>34167</v>
      </c>
      <c r="S88" s="3">
        <v>42054</v>
      </c>
      <c r="T88">
        <v>18.209444027</v>
      </c>
      <c r="U88">
        <v>0.66838895734000003</v>
      </c>
      <c r="V88">
        <v>0.98519466104999998</v>
      </c>
      <c r="W88" t="s">
        <v>122</v>
      </c>
      <c r="X88" t="s">
        <v>123</v>
      </c>
    </row>
    <row r="89" spans="4:24" x14ac:dyDescent="0.25">
      <c r="D89">
        <v>34360</v>
      </c>
      <c r="E89" s="3">
        <v>42056</v>
      </c>
      <c r="F89">
        <v>17.331581685</v>
      </c>
      <c r="G89">
        <v>0.85090217289000003</v>
      </c>
      <c r="H89">
        <v>0.12055871243999999</v>
      </c>
      <c r="I89" t="s">
        <v>122</v>
      </c>
      <c r="J89" t="s">
        <v>124</v>
      </c>
      <c r="R89">
        <v>34168</v>
      </c>
      <c r="S89" s="3">
        <v>42054</v>
      </c>
      <c r="T89">
        <v>18.209444027</v>
      </c>
      <c r="U89">
        <v>0.66838895734000003</v>
      </c>
      <c r="V89">
        <v>0.98519466104999998</v>
      </c>
      <c r="W89" t="s">
        <v>122</v>
      </c>
      <c r="X89" t="s">
        <v>124</v>
      </c>
    </row>
    <row r="90" spans="4:24" x14ac:dyDescent="0.25">
      <c r="D90">
        <v>34361</v>
      </c>
      <c r="E90" s="3">
        <v>42056</v>
      </c>
      <c r="F90">
        <v>17.015943454999999</v>
      </c>
      <c r="G90">
        <v>0.85644359848999996</v>
      </c>
      <c r="H90">
        <v>0.14649370170000001</v>
      </c>
      <c r="I90" t="s">
        <v>122</v>
      </c>
      <c r="J90" t="s">
        <v>125</v>
      </c>
      <c r="R90">
        <v>34169</v>
      </c>
      <c r="S90" s="3">
        <v>42054</v>
      </c>
      <c r="T90">
        <v>17.505967026</v>
      </c>
      <c r="U90">
        <v>0.67945601640999997</v>
      </c>
      <c r="V90">
        <v>0.98679644037000003</v>
      </c>
      <c r="W90" t="s">
        <v>122</v>
      </c>
      <c r="X90" t="s">
        <v>125</v>
      </c>
    </row>
    <row r="91" spans="4:24" x14ac:dyDescent="0.25">
      <c r="D91">
        <v>34362</v>
      </c>
      <c r="E91" s="3">
        <v>42056</v>
      </c>
      <c r="F91">
        <v>17.015943454999999</v>
      </c>
      <c r="G91">
        <v>0.85644359848999996</v>
      </c>
      <c r="H91">
        <v>0.14649370170000001</v>
      </c>
      <c r="I91" t="s">
        <v>122</v>
      </c>
      <c r="J91" t="s">
        <v>126</v>
      </c>
      <c r="R91">
        <v>34170</v>
      </c>
      <c r="S91" s="3">
        <v>42054</v>
      </c>
      <c r="T91">
        <v>17.505967026</v>
      </c>
      <c r="U91">
        <v>0.67945601640999997</v>
      </c>
      <c r="V91">
        <v>0.98679644037000003</v>
      </c>
      <c r="W91" t="s">
        <v>122</v>
      </c>
      <c r="X91" t="s">
        <v>126</v>
      </c>
    </row>
    <row r="92" spans="4:24" x14ac:dyDescent="0.25">
      <c r="D92">
        <v>34363</v>
      </c>
      <c r="E92" s="3">
        <v>42056</v>
      </c>
      <c r="F92">
        <v>17.015943454999999</v>
      </c>
      <c r="G92">
        <v>0.85644359848999996</v>
      </c>
      <c r="H92">
        <v>0.14649370170000001</v>
      </c>
      <c r="I92" t="s">
        <v>122</v>
      </c>
      <c r="J92" t="s">
        <v>127</v>
      </c>
      <c r="R92">
        <v>34171</v>
      </c>
      <c r="S92" s="3">
        <v>42054</v>
      </c>
      <c r="T92">
        <v>17.505967026</v>
      </c>
      <c r="U92">
        <v>0.67945601640999997</v>
      </c>
      <c r="V92">
        <v>0.98679644037000003</v>
      </c>
      <c r="W92" t="s">
        <v>122</v>
      </c>
      <c r="X92" t="s">
        <v>127</v>
      </c>
    </row>
    <row r="93" spans="4:24" x14ac:dyDescent="0.25">
      <c r="D93">
        <v>34364</v>
      </c>
      <c r="E93" s="3">
        <v>42056</v>
      </c>
      <c r="F93">
        <v>17.015943454999999</v>
      </c>
      <c r="G93">
        <v>0.85644359848999996</v>
      </c>
      <c r="H93">
        <v>0.14649370170000001</v>
      </c>
      <c r="I93" t="s">
        <v>122</v>
      </c>
      <c r="J93" t="s">
        <v>128</v>
      </c>
      <c r="R93">
        <v>34172</v>
      </c>
      <c r="S93" s="3">
        <v>42054</v>
      </c>
      <c r="T93">
        <v>17.505967026</v>
      </c>
      <c r="U93">
        <v>0.67945601640999997</v>
      </c>
      <c r="V93">
        <v>0.98679644037000003</v>
      </c>
      <c r="W93" t="s">
        <v>122</v>
      </c>
      <c r="X93" t="s">
        <v>128</v>
      </c>
    </row>
    <row r="94" spans="4:24" x14ac:dyDescent="0.25">
      <c r="D94">
        <v>34365</v>
      </c>
      <c r="E94" s="3">
        <v>42056</v>
      </c>
      <c r="F94">
        <v>16.458819324</v>
      </c>
      <c r="G94">
        <v>0.86375869320999998</v>
      </c>
      <c r="H94">
        <v>0.17219326824</v>
      </c>
      <c r="I94" t="s">
        <v>122</v>
      </c>
      <c r="J94" t="s">
        <v>129</v>
      </c>
      <c r="R94">
        <v>34173</v>
      </c>
      <c r="S94" s="3">
        <v>42054</v>
      </c>
      <c r="T94">
        <v>17.312466452999999</v>
      </c>
      <c r="U94">
        <v>0.67607866608</v>
      </c>
      <c r="V94">
        <v>0.98839821968999997</v>
      </c>
      <c r="W94" t="s">
        <v>122</v>
      </c>
      <c r="X94" t="s">
        <v>129</v>
      </c>
    </row>
    <row r="95" spans="4:24" x14ac:dyDescent="0.25">
      <c r="D95">
        <v>34366</v>
      </c>
      <c r="E95" s="3">
        <v>42056</v>
      </c>
      <c r="F95">
        <v>16.458819324</v>
      </c>
      <c r="G95">
        <v>0.86375869320999998</v>
      </c>
      <c r="H95">
        <v>0.17219326824</v>
      </c>
      <c r="I95" t="s">
        <v>122</v>
      </c>
      <c r="J95" t="s">
        <v>130</v>
      </c>
      <c r="R95">
        <v>34174</v>
      </c>
      <c r="S95" s="3">
        <v>42054</v>
      </c>
      <c r="T95">
        <v>17.312466452999999</v>
      </c>
      <c r="U95">
        <v>0.67607866608</v>
      </c>
      <c r="V95">
        <v>0.98839821968999997</v>
      </c>
      <c r="W95" t="s">
        <v>122</v>
      </c>
      <c r="X95" t="s">
        <v>130</v>
      </c>
    </row>
    <row r="96" spans="4:24" x14ac:dyDescent="0.25">
      <c r="D96">
        <v>34367</v>
      </c>
      <c r="E96" s="3">
        <v>42056</v>
      </c>
      <c r="F96">
        <v>16.458819324</v>
      </c>
      <c r="G96">
        <v>0.86375869320999998</v>
      </c>
      <c r="H96">
        <v>0.17219326824</v>
      </c>
      <c r="I96" t="s">
        <v>122</v>
      </c>
      <c r="J96" t="s">
        <v>131</v>
      </c>
      <c r="R96">
        <v>34175</v>
      </c>
      <c r="S96" s="3">
        <v>42054</v>
      </c>
      <c r="T96">
        <v>17.312466452999999</v>
      </c>
      <c r="U96">
        <v>0.67607866608</v>
      </c>
      <c r="V96">
        <v>0.98839821968999997</v>
      </c>
      <c r="W96" t="s">
        <v>122</v>
      </c>
      <c r="X96" t="s">
        <v>131</v>
      </c>
    </row>
    <row r="97" spans="4:24" x14ac:dyDescent="0.25">
      <c r="D97">
        <v>34368</v>
      </c>
      <c r="E97" s="3">
        <v>42056</v>
      </c>
      <c r="F97">
        <v>16.458819324</v>
      </c>
      <c r="G97">
        <v>0.86375869320999998</v>
      </c>
      <c r="H97">
        <v>0.17219326824</v>
      </c>
      <c r="I97" t="s">
        <v>122</v>
      </c>
      <c r="J97" t="s">
        <v>132</v>
      </c>
      <c r="R97">
        <v>34176</v>
      </c>
      <c r="S97" s="3">
        <v>42054</v>
      </c>
      <c r="T97">
        <v>17.312466452999999</v>
      </c>
      <c r="U97">
        <v>0.67607866608</v>
      </c>
      <c r="V97">
        <v>0.98839821968999997</v>
      </c>
      <c r="W97" t="s">
        <v>122</v>
      </c>
      <c r="X97" t="s">
        <v>132</v>
      </c>
    </row>
    <row r="98" spans="4:24" x14ac:dyDescent="0.25">
      <c r="D98">
        <v>34177</v>
      </c>
      <c r="E98" s="3">
        <v>42055</v>
      </c>
      <c r="F98">
        <v>16.777793998</v>
      </c>
      <c r="G98">
        <v>0.78654694778000001</v>
      </c>
      <c r="H98">
        <v>0.64149584667000004</v>
      </c>
      <c r="I98" t="s">
        <v>25</v>
      </c>
      <c r="J98" t="s">
        <v>26</v>
      </c>
      <c r="R98">
        <v>33985</v>
      </c>
      <c r="S98" s="3">
        <v>42053</v>
      </c>
      <c r="T98">
        <v>16.141062684000001</v>
      </c>
      <c r="U98">
        <v>0.81664928440999995</v>
      </c>
      <c r="V98">
        <v>0.32787153229999999</v>
      </c>
      <c r="W98" t="s">
        <v>25</v>
      </c>
      <c r="X98" t="s">
        <v>26</v>
      </c>
    </row>
    <row r="99" spans="4:24" x14ac:dyDescent="0.25">
      <c r="D99">
        <v>34178</v>
      </c>
      <c r="E99" s="3">
        <v>42055</v>
      </c>
      <c r="F99">
        <v>16.777793998</v>
      </c>
      <c r="G99">
        <v>0.78654694778000001</v>
      </c>
      <c r="H99">
        <v>0.64149584667000004</v>
      </c>
      <c r="I99" t="s">
        <v>25</v>
      </c>
      <c r="J99" t="s">
        <v>27</v>
      </c>
      <c r="R99">
        <v>33986</v>
      </c>
      <c r="S99" s="3">
        <v>42053</v>
      </c>
      <c r="T99">
        <v>16.141062684000001</v>
      </c>
      <c r="U99">
        <v>0.81664928440999995</v>
      </c>
      <c r="V99">
        <v>0.32787153229999999</v>
      </c>
      <c r="W99" t="s">
        <v>25</v>
      </c>
      <c r="X99" t="s">
        <v>27</v>
      </c>
    </row>
    <row r="100" spans="4:24" x14ac:dyDescent="0.25">
      <c r="D100">
        <v>34179</v>
      </c>
      <c r="E100" s="3">
        <v>42055</v>
      </c>
      <c r="F100">
        <v>16.777793998</v>
      </c>
      <c r="G100">
        <v>0.78654694778000001</v>
      </c>
      <c r="H100">
        <v>0.64149584667000004</v>
      </c>
      <c r="I100" t="s">
        <v>25</v>
      </c>
      <c r="J100" t="s">
        <v>28</v>
      </c>
      <c r="R100">
        <v>33987</v>
      </c>
      <c r="S100" s="3">
        <v>42053</v>
      </c>
      <c r="T100">
        <v>16.141062684000001</v>
      </c>
      <c r="U100">
        <v>0.81664928440999995</v>
      </c>
      <c r="V100">
        <v>0.32787153229999999</v>
      </c>
      <c r="W100" t="s">
        <v>25</v>
      </c>
      <c r="X100" t="s">
        <v>28</v>
      </c>
    </row>
    <row r="101" spans="4:24" x14ac:dyDescent="0.25">
      <c r="D101">
        <v>34180</v>
      </c>
      <c r="E101" s="3">
        <v>42055</v>
      </c>
      <c r="F101">
        <v>16.777793998</v>
      </c>
      <c r="G101">
        <v>0.78654694778000001</v>
      </c>
      <c r="H101">
        <v>0.64149584667000004</v>
      </c>
      <c r="I101" t="s">
        <v>25</v>
      </c>
      <c r="J101" t="s">
        <v>29</v>
      </c>
      <c r="R101">
        <v>33988</v>
      </c>
      <c r="S101" s="3">
        <v>42053</v>
      </c>
      <c r="T101">
        <v>16.141062684000001</v>
      </c>
      <c r="U101">
        <v>0.81664928440999995</v>
      </c>
      <c r="V101">
        <v>0.32787153229999999</v>
      </c>
      <c r="W101" t="s">
        <v>25</v>
      </c>
      <c r="X101" t="s">
        <v>29</v>
      </c>
    </row>
    <row r="102" spans="4:24" x14ac:dyDescent="0.25">
      <c r="D102">
        <v>34181</v>
      </c>
      <c r="E102" s="3">
        <v>42055</v>
      </c>
      <c r="F102">
        <v>16.345789095000001</v>
      </c>
      <c r="G102">
        <v>0.78780795922000002</v>
      </c>
      <c r="H102">
        <v>0.66869713386999996</v>
      </c>
      <c r="I102" t="s">
        <v>25</v>
      </c>
      <c r="J102" t="s">
        <v>30</v>
      </c>
      <c r="R102">
        <v>33989</v>
      </c>
      <c r="S102" s="3">
        <v>42053</v>
      </c>
      <c r="T102">
        <v>15.750624689</v>
      </c>
      <c r="U102">
        <v>0.81692924106999998</v>
      </c>
      <c r="V102">
        <v>0.35626423927</v>
      </c>
      <c r="W102" t="s">
        <v>25</v>
      </c>
      <c r="X102" t="s">
        <v>30</v>
      </c>
    </row>
    <row r="103" spans="4:24" x14ac:dyDescent="0.25">
      <c r="D103">
        <v>34182</v>
      </c>
      <c r="E103" s="3">
        <v>42055</v>
      </c>
      <c r="F103">
        <v>16.345789095000001</v>
      </c>
      <c r="G103">
        <v>0.78780795922000002</v>
      </c>
      <c r="H103">
        <v>0.66869713386999996</v>
      </c>
      <c r="I103" t="s">
        <v>25</v>
      </c>
      <c r="J103" t="s">
        <v>31</v>
      </c>
      <c r="R103">
        <v>33990</v>
      </c>
      <c r="S103" s="3">
        <v>42053</v>
      </c>
      <c r="T103">
        <v>15.750624689</v>
      </c>
      <c r="U103">
        <v>0.81692924106999998</v>
      </c>
      <c r="V103">
        <v>0.35626423927</v>
      </c>
      <c r="W103" t="s">
        <v>25</v>
      </c>
      <c r="X103" t="s">
        <v>31</v>
      </c>
    </row>
    <row r="104" spans="4:24" x14ac:dyDescent="0.25">
      <c r="D104">
        <v>34183</v>
      </c>
      <c r="E104" s="3">
        <v>42055</v>
      </c>
      <c r="F104">
        <v>16.345789095000001</v>
      </c>
      <c r="G104">
        <v>0.78780795922000002</v>
      </c>
      <c r="H104">
        <v>0.66869713386999996</v>
      </c>
      <c r="I104" t="s">
        <v>25</v>
      </c>
      <c r="J104" t="s">
        <v>32</v>
      </c>
      <c r="R104">
        <v>33991</v>
      </c>
      <c r="S104" s="3">
        <v>42053</v>
      </c>
      <c r="T104">
        <v>15.750624689</v>
      </c>
      <c r="U104">
        <v>0.81692924106999998</v>
      </c>
      <c r="V104">
        <v>0.35626423927</v>
      </c>
      <c r="W104" t="s">
        <v>25</v>
      </c>
      <c r="X104" t="s">
        <v>32</v>
      </c>
    </row>
    <row r="105" spans="4:24" x14ac:dyDescent="0.25">
      <c r="D105">
        <v>34184</v>
      </c>
      <c r="E105" s="3">
        <v>42055</v>
      </c>
      <c r="F105">
        <v>16.345789095000001</v>
      </c>
      <c r="G105">
        <v>0.78780795922000002</v>
      </c>
      <c r="H105">
        <v>0.66869713386999996</v>
      </c>
      <c r="I105" t="s">
        <v>25</v>
      </c>
      <c r="J105" t="s">
        <v>33</v>
      </c>
      <c r="R105">
        <v>33992</v>
      </c>
      <c r="S105" s="3">
        <v>42053</v>
      </c>
      <c r="T105">
        <v>15.750624689</v>
      </c>
      <c r="U105">
        <v>0.81692924106999998</v>
      </c>
      <c r="V105">
        <v>0.35626423927</v>
      </c>
      <c r="W105" t="s">
        <v>25</v>
      </c>
      <c r="X105" t="s">
        <v>33</v>
      </c>
    </row>
    <row r="106" spans="4:24" x14ac:dyDescent="0.25">
      <c r="D106">
        <v>34185</v>
      </c>
      <c r="E106" s="3">
        <v>42055</v>
      </c>
      <c r="F106">
        <v>15.922028459</v>
      </c>
      <c r="G106">
        <v>0.81524408919000002</v>
      </c>
      <c r="H106">
        <v>0.7352919524</v>
      </c>
      <c r="I106" t="s">
        <v>25</v>
      </c>
      <c r="J106" t="s">
        <v>34</v>
      </c>
      <c r="R106">
        <v>33993</v>
      </c>
      <c r="S106" s="3">
        <v>42053</v>
      </c>
      <c r="T106">
        <v>15.192219773</v>
      </c>
      <c r="U106">
        <v>0.82195643253999995</v>
      </c>
      <c r="V106">
        <v>0.37384902746999998</v>
      </c>
      <c r="W106" t="s">
        <v>25</v>
      </c>
      <c r="X106" t="s">
        <v>34</v>
      </c>
    </row>
    <row r="107" spans="4:24" x14ac:dyDescent="0.25">
      <c r="D107">
        <v>34186</v>
      </c>
      <c r="E107" s="3">
        <v>42055</v>
      </c>
      <c r="F107">
        <v>15.922028459</v>
      </c>
      <c r="G107">
        <v>0.81524408919000002</v>
      </c>
      <c r="H107">
        <v>0.7352919524</v>
      </c>
      <c r="I107" t="s">
        <v>25</v>
      </c>
      <c r="J107" t="s">
        <v>35</v>
      </c>
      <c r="R107">
        <v>33994</v>
      </c>
      <c r="S107" s="3">
        <v>42053</v>
      </c>
      <c r="T107">
        <v>15.192219773</v>
      </c>
      <c r="U107">
        <v>0.82195643253999995</v>
      </c>
      <c r="V107">
        <v>0.37384902746999998</v>
      </c>
      <c r="W107" t="s">
        <v>25</v>
      </c>
      <c r="X107" t="s">
        <v>35</v>
      </c>
    </row>
    <row r="108" spans="4:24" x14ac:dyDescent="0.25">
      <c r="D108">
        <v>34187</v>
      </c>
      <c r="E108" s="3">
        <v>42055</v>
      </c>
      <c r="F108">
        <v>15.922028459</v>
      </c>
      <c r="G108">
        <v>0.81524408919000002</v>
      </c>
      <c r="H108">
        <v>0.7352919524</v>
      </c>
      <c r="I108" t="s">
        <v>25</v>
      </c>
      <c r="J108" t="s">
        <v>36</v>
      </c>
      <c r="R108">
        <v>33995</v>
      </c>
      <c r="S108" s="3">
        <v>42053</v>
      </c>
      <c r="T108">
        <v>15.192219773</v>
      </c>
      <c r="U108">
        <v>0.82195643253999995</v>
      </c>
      <c r="V108">
        <v>0.37384902746999998</v>
      </c>
      <c r="W108" t="s">
        <v>25</v>
      </c>
      <c r="X108" t="s">
        <v>36</v>
      </c>
    </row>
    <row r="109" spans="4:24" x14ac:dyDescent="0.25">
      <c r="D109">
        <v>34188</v>
      </c>
      <c r="E109" s="3">
        <v>42055</v>
      </c>
      <c r="F109">
        <v>15.922028459</v>
      </c>
      <c r="G109">
        <v>0.81524408919000002</v>
      </c>
      <c r="H109">
        <v>0.7352919524</v>
      </c>
      <c r="I109" t="s">
        <v>25</v>
      </c>
      <c r="J109" t="s">
        <v>37</v>
      </c>
      <c r="R109">
        <v>33996</v>
      </c>
      <c r="S109" s="3">
        <v>42053</v>
      </c>
      <c r="T109">
        <v>15.192219773</v>
      </c>
      <c r="U109">
        <v>0.82195643253999995</v>
      </c>
      <c r="V109">
        <v>0.37384902746999998</v>
      </c>
      <c r="W109" t="s">
        <v>25</v>
      </c>
      <c r="X109" t="s">
        <v>37</v>
      </c>
    </row>
    <row r="110" spans="4:24" x14ac:dyDescent="0.25">
      <c r="D110">
        <v>34189</v>
      </c>
      <c r="E110" s="3">
        <v>42055</v>
      </c>
      <c r="F110">
        <v>15.707711868000001</v>
      </c>
      <c r="G110">
        <v>0.84519916779000004</v>
      </c>
      <c r="H110">
        <v>0.75639736578000005</v>
      </c>
      <c r="I110" t="s">
        <v>25</v>
      </c>
      <c r="J110" t="s">
        <v>38</v>
      </c>
      <c r="R110">
        <v>33997</v>
      </c>
      <c r="S110" s="3">
        <v>42053</v>
      </c>
      <c r="T110">
        <v>14.817725250000001</v>
      </c>
      <c r="U110">
        <v>0.82369046679000002</v>
      </c>
      <c r="V110">
        <v>0.31370477273000003</v>
      </c>
      <c r="W110" t="s">
        <v>25</v>
      </c>
      <c r="X110" t="s">
        <v>38</v>
      </c>
    </row>
    <row r="111" spans="4:24" x14ac:dyDescent="0.25">
      <c r="D111">
        <v>34190</v>
      </c>
      <c r="E111" s="3">
        <v>42055</v>
      </c>
      <c r="F111">
        <v>15.707711868000001</v>
      </c>
      <c r="G111">
        <v>0.84519916779000004</v>
      </c>
      <c r="H111">
        <v>0.75639736578000005</v>
      </c>
      <c r="I111" t="s">
        <v>25</v>
      </c>
      <c r="J111" t="s">
        <v>39</v>
      </c>
      <c r="R111">
        <v>33998</v>
      </c>
      <c r="S111" s="3">
        <v>42053</v>
      </c>
      <c r="T111">
        <v>14.817725250000001</v>
      </c>
      <c r="U111">
        <v>0.82369046679000002</v>
      </c>
      <c r="V111">
        <v>0.31370477273000003</v>
      </c>
      <c r="W111" t="s">
        <v>25</v>
      </c>
      <c r="X111" t="s">
        <v>39</v>
      </c>
    </row>
    <row r="112" spans="4:24" x14ac:dyDescent="0.25">
      <c r="D112">
        <v>34191</v>
      </c>
      <c r="E112" s="3">
        <v>42055</v>
      </c>
      <c r="F112">
        <v>15.707711868000001</v>
      </c>
      <c r="G112">
        <v>0.84519916779000004</v>
      </c>
      <c r="H112">
        <v>0.75639736578000005</v>
      </c>
      <c r="I112" t="s">
        <v>25</v>
      </c>
      <c r="J112" t="s">
        <v>40</v>
      </c>
      <c r="R112">
        <v>33999</v>
      </c>
      <c r="S112" s="3">
        <v>42053</v>
      </c>
      <c r="T112">
        <v>14.817725250000001</v>
      </c>
      <c r="U112">
        <v>0.82369046679000002</v>
      </c>
      <c r="V112">
        <v>0.31370477273000003</v>
      </c>
      <c r="W112" t="s">
        <v>25</v>
      </c>
      <c r="X112" t="s">
        <v>40</v>
      </c>
    </row>
    <row r="113" spans="4:24" x14ac:dyDescent="0.25">
      <c r="D113">
        <v>34192</v>
      </c>
      <c r="E113" s="3">
        <v>42055</v>
      </c>
      <c r="F113">
        <v>15.707711868000001</v>
      </c>
      <c r="G113">
        <v>0.84519916779000004</v>
      </c>
      <c r="H113">
        <v>0.75639736578000005</v>
      </c>
      <c r="I113" t="s">
        <v>25</v>
      </c>
      <c r="J113" t="s">
        <v>41</v>
      </c>
      <c r="R113">
        <v>34000</v>
      </c>
      <c r="S113" s="3">
        <v>42053</v>
      </c>
      <c r="T113">
        <v>14.817725250000001</v>
      </c>
      <c r="U113">
        <v>0.82369046679000002</v>
      </c>
      <c r="V113">
        <v>0.31370477273000003</v>
      </c>
      <c r="W113" t="s">
        <v>25</v>
      </c>
      <c r="X113" t="s">
        <v>41</v>
      </c>
    </row>
    <row r="114" spans="4:24" x14ac:dyDescent="0.25">
      <c r="D114">
        <v>34193</v>
      </c>
      <c r="E114" s="3">
        <v>42055</v>
      </c>
      <c r="F114">
        <v>15.342807525</v>
      </c>
      <c r="G114">
        <v>0.87035725001999997</v>
      </c>
      <c r="H114">
        <v>0.81628992636999997</v>
      </c>
      <c r="I114" t="s">
        <v>42</v>
      </c>
      <c r="J114" t="s">
        <v>43</v>
      </c>
      <c r="R114">
        <v>34001</v>
      </c>
      <c r="S114" s="3">
        <v>42053</v>
      </c>
      <c r="T114">
        <v>14.222560844</v>
      </c>
      <c r="U114">
        <v>0.82383607463999997</v>
      </c>
      <c r="V114">
        <v>0.34294388917000002</v>
      </c>
      <c r="W114" t="s">
        <v>42</v>
      </c>
      <c r="X114" t="s">
        <v>43</v>
      </c>
    </row>
    <row r="115" spans="4:24" x14ac:dyDescent="0.25">
      <c r="D115">
        <v>34194</v>
      </c>
      <c r="E115" s="3">
        <v>42055</v>
      </c>
      <c r="F115">
        <v>15.342807525</v>
      </c>
      <c r="G115">
        <v>0.87035725001999997</v>
      </c>
      <c r="H115">
        <v>0.81628992636999997</v>
      </c>
      <c r="I115" t="s">
        <v>42</v>
      </c>
      <c r="J115" t="s">
        <v>44</v>
      </c>
      <c r="R115">
        <v>34002</v>
      </c>
      <c r="S115" s="3">
        <v>42053</v>
      </c>
      <c r="T115">
        <v>14.222560844</v>
      </c>
      <c r="U115">
        <v>0.82383607463999997</v>
      </c>
      <c r="V115">
        <v>0.34294388917000002</v>
      </c>
      <c r="W115" t="s">
        <v>42</v>
      </c>
      <c r="X115" t="s">
        <v>44</v>
      </c>
    </row>
    <row r="116" spans="4:24" x14ac:dyDescent="0.25">
      <c r="D116">
        <v>34195</v>
      </c>
      <c r="E116" s="3">
        <v>42055</v>
      </c>
      <c r="F116">
        <v>15.342807525</v>
      </c>
      <c r="G116">
        <v>0.87035725001999997</v>
      </c>
      <c r="H116">
        <v>0.81628992636999997</v>
      </c>
      <c r="I116" t="s">
        <v>42</v>
      </c>
      <c r="J116" t="s">
        <v>45</v>
      </c>
      <c r="R116">
        <v>34003</v>
      </c>
      <c r="S116" s="3">
        <v>42053</v>
      </c>
      <c r="T116">
        <v>14.222560844</v>
      </c>
      <c r="U116">
        <v>0.82383607463999997</v>
      </c>
      <c r="V116">
        <v>0.34294388917000002</v>
      </c>
      <c r="W116" t="s">
        <v>42</v>
      </c>
      <c r="X116" t="s">
        <v>45</v>
      </c>
    </row>
    <row r="117" spans="4:24" x14ac:dyDescent="0.25">
      <c r="D117">
        <v>34196</v>
      </c>
      <c r="E117" s="3">
        <v>42055</v>
      </c>
      <c r="F117">
        <v>15.342807525</v>
      </c>
      <c r="G117">
        <v>0.87035725001999997</v>
      </c>
      <c r="H117">
        <v>0.81628992636999997</v>
      </c>
      <c r="I117" t="s">
        <v>42</v>
      </c>
      <c r="J117" t="s">
        <v>46</v>
      </c>
      <c r="R117">
        <v>34004</v>
      </c>
      <c r="S117" s="3">
        <v>42053</v>
      </c>
      <c r="T117">
        <v>14.222560844</v>
      </c>
      <c r="U117">
        <v>0.82383607463999997</v>
      </c>
      <c r="V117">
        <v>0.34294388917000002</v>
      </c>
      <c r="W117" t="s">
        <v>42</v>
      </c>
      <c r="X117" t="s">
        <v>46</v>
      </c>
    </row>
    <row r="118" spans="4:24" x14ac:dyDescent="0.25">
      <c r="D118">
        <v>34197</v>
      </c>
      <c r="E118" s="3">
        <v>42055</v>
      </c>
      <c r="F118">
        <v>15.031886929000001</v>
      </c>
      <c r="G118">
        <v>0.86003627477</v>
      </c>
      <c r="H118">
        <v>0.85782018391000003</v>
      </c>
      <c r="I118" t="s">
        <v>42</v>
      </c>
      <c r="J118" t="s">
        <v>47</v>
      </c>
      <c r="R118">
        <v>34005</v>
      </c>
      <c r="S118" s="3">
        <v>42053</v>
      </c>
      <c r="T118">
        <v>14.100423187000001</v>
      </c>
      <c r="U118">
        <v>0.81270738454000002</v>
      </c>
      <c r="V118">
        <v>0.35094079772999998</v>
      </c>
      <c r="W118" t="s">
        <v>42</v>
      </c>
      <c r="X118" t="s">
        <v>47</v>
      </c>
    </row>
    <row r="119" spans="4:24" x14ac:dyDescent="0.25">
      <c r="D119">
        <v>34198</v>
      </c>
      <c r="E119" s="3">
        <v>42055</v>
      </c>
      <c r="F119">
        <v>15.031886929000001</v>
      </c>
      <c r="G119">
        <v>0.86003627477</v>
      </c>
      <c r="H119">
        <v>0.85782018391000003</v>
      </c>
      <c r="I119" t="s">
        <v>42</v>
      </c>
      <c r="J119" t="s">
        <v>49</v>
      </c>
      <c r="R119">
        <v>34006</v>
      </c>
      <c r="S119" s="3">
        <v>42053</v>
      </c>
      <c r="T119">
        <v>14.100423187000001</v>
      </c>
      <c r="U119">
        <v>0.81270738454000002</v>
      </c>
      <c r="V119">
        <v>0.35094079772999998</v>
      </c>
      <c r="W119" t="s">
        <v>42</v>
      </c>
      <c r="X119" t="s">
        <v>49</v>
      </c>
    </row>
    <row r="120" spans="4:24" x14ac:dyDescent="0.25">
      <c r="D120">
        <v>34199</v>
      </c>
      <c r="E120" s="3">
        <v>42055</v>
      </c>
      <c r="F120">
        <v>15.031886929000001</v>
      </c>
      <c r="G120">
        <v>0.86003627477</v>
      </c>
      <c r="H120">
        <v>0.85782018391000003</v>
      </c>
      <c r="I120" t="s">
        <v>42</v>
      </c>
      <c r="J120" t="s">
        <v>50</v>
      </c>
      <c r="R120">
        <v>34007</v>
      </c>
      <c r="S120" s="3">
        <v>42053</v>
      </c>
      <c r="T120">
        <v>14.100423187000001</v>
      </c>
      <c r="U120">
        <v>0.81270738454000002</v>
      </c>
      <c r="V120">
        <v>0.35094079772999998</v>
      </c>
      <c r="W120" t="s">
        <v>42</v>
      </c>
      <c r="X120" t="s">
        <v>50</v>
      </c>
    </row>
    <row r="121" spans="4:24" x14ac:dyDescent="0.25">
      <c r="D121">
        <v>34200</v>
      </c>
      <c r="E121" s="3">
        <v>42055</v>
      </c>
      <c r="F121">
        <v>15.031886929000001</v>
      </c>
      <c r="G121">
        <v>0.86003627477</v>
      </c>
      <c r="H121">
        <v>0.85782018391000003</v>
      </c>
      <c r="I121" t="s">
        <v>42</v>
      </c>
      <c r="J121" t="s">
        <v>51</v>
      </c>
      <c r="R121">
        <v>34008</v>
      </c>
      <c r="S121" s="3">
        <v>42053</v>
      </c>
      <c r="T121">
        <v>14.100423187000001</v>
      </c>
      <c r="U121">
        <v>0.81270738454000002</v>
      </c>
      <c r="V121">
        <v>0.35094079772999998</v>
      </c>
      <c r="W121" t="s">
        <v>42</v>
      </c>
      <c r="X121" t="s">
        <v>51</v>
      </c>
    </row>
    <row r="122" spans="4:24" x14ac:dyDescent="0.25">
      <c r="D122">
        <v>34201</v>
      </c>
      <c r="E122" s="3">
        <v>42055</v>
      </c>
      <c r="F122">
        <v>14.878217201</v>
      </c>
      <c r="G122">
        <v>0.85021915705999995</v>
      </c>
      <c r="H122">
        <v>0.83369809024999997</v>
      </c>
      <c r="I122" t="s">
        <v>52</v>
      </c>
      <c r="J122" t="s">
        <v>53</v>
      </c>
      <c r="R122">
        <v>34009</v>
      </c>
      <c r="S122" s="3">
        <v>42053</v>
      </c>
      <c r="T122">
        <v>14.100423187000001</v>
      </c>
      <c r="U122">
        <v>0.83032157156999997</v>
      </c>
      <c r="V122">
        <v>0.42464363111999998</v>
      </c>
      <c r="W122" t="s">
        <v>52</v>
      </c>
      <c r="X122" t="s">
        <v>53</v>
      </c>
    </row>
    <row r="123" spans="4:24" x14ac:dyDescent="0.25">
      <c r="D123">
        <v>34202</v>
      </c>
      <c r="E123" s="3">
        <v>42055</v>
      </c>
      <c r="F123">
        <v>14.878217201</v>
      </c>
      <c r="G123">
        <v>0.85021915705999995</v>
      </c>
      <c r="H123">
        <v>0.83369809024999997</v>
      </c>
      <c r="I123" t="s">
        <v>52</v>
      </c>
      <c r="J123" t="s">
        <v>54</v>
      </c>
      <c r="R123">
        <v>34010</v>
      </c>
      <c r="S123" s="3">
        <v>42053</v>
      </c>
      <c r="T123">
        <v>14.100423187000001</v>
      </c>
      <c r="U123">
        <v>0.83032157156999997</v>
      </c>
      <c r="V123">
        <v>0.42464363111999998</v>
      </c>
      <c r="W123" t="s">
        <v>52</v>
      </c>
      <c r="X123" t="s">
        <v>54</v>
      </c>
    </row>
    <row r="124" spans="4:24" x14ac:dyDescent="0.25">
      <c r="D124">
        <v>34203</v>
      </c>
      <c r="E124" s="3">
        <v>42055</v>
      </c>
      <c r="F124">
        <v>14.878217201</v>
      </c>
      <c r="G124">
        <v>0.85021915705999995</v>
      </c>
      <c r="H124">
        <v>0.83369809024999997</v>
      </c>
      <c r="I124" t="s">
        <v>52</v>
      </c>
      <c r="J124" t="s">
        <v>55</v>
      </c>
      <c r="R124">
        <v>34011</v>
      </c>
      <c r="S124" s="3">
        <v>42053</v>
      </c>
      <c r="T124">
        <v>14.100423187000001</v>
      </c>
      <c r="U124">
        <v>0.83032157156999997</v>
      </c>
      <c r="V124">
        <v>0.42464363111999998</v>
      </c>
      <c r="W124" t="s">
        <v>52</v>
      </c>
      <c r="X124" t="s">
        <v>55</v>
      </c>
    </row>
    <row r="125" spans="4:24" x14ac:dyDescent="0.25">
      <c r="D125">
        <v>34204</v>
      </c>
      <c r="E125" s="3">
        <v>42055</v>
      </c>
      <c r="F125">
        <v>14.878217201</v>
      </c>
      <c r="G125">
        <v>0.85021915705999995</v>
      </c>
      <c r="H125">
        <v>0.83369809024999997</v>
      </c>
      <c r="I125" t="s">
        <v>52</v>
      </c>
      <c r="J125" t="s">
        <v>56</v>
      </c>
      <c r="R125">
        <v>34012</v>
      </c>
      <c r="S125" s="3">
        <v>42053</v>
      </c>
      <c r="T125">
        <v>14.100423187000001</v>
      </c>
      <c r="U125">
        <v>0.83032157156999997</v>
      </c>
      <c r="V125">
        <v>0.42464363111999998</v>
      </c>
      <c r="W125" t="s">
        <v>52</v>
      </c>
      <c r="X125" t="s">
        <v>56</v>
      </c>
    </row>
    <row r="126" spans="4:24" x14ac:dyDescent="0.25">
      <c r="D126">
        <v>34205</v>
      </c>
      <c r="E126" s="3">
        <v>42055</v>
      </c>
      <c r="F126">
        <v>18.127237619999999</v>
      </c>
      <c r="G126">
        <v>0.76679653915000001</v>
      </c>
      <c r="H126">
        <v>0.96710116453999995</v>
      </c>
      <c r="I126" t="s">
        <v>52</v>
      </c>
      <c r="J126" t="s">
        <v>57</v>
      </c>
      <c r="R126">
        <v>34013</v>
      </c>
      <c r="S126" s="3">
        <v>42053</v>
      </c>
      <c r="T126">
        <v>15.654210873</v>
      </c>
      <c r="U126">
        <v>0.87480980418999998</v>
      </c>
      <c r="V126">
        <v>0.78723024768000005</v>
      </c>
      <c r="W126" t="s">
        <v>52</v>
      </c>
      <c r="X126" t="s">
        <v>57</v>
      </c>
    </row>
    <row r="127" spans="4:24" x14ac:dyDescent="0.25">
      <c r="D127">
        <v>34206</v>
      </c>
      <c r="E127" s="3">
        <v>42055</v>
      </c>
      <c r="F127">
        <v>18.127237619999999</v>
      </c>
      <c r="G127">
        <v>0.76679653915000001</v>
      </c>
      <c r="H127">
        <v>0.96710116453999995</v>
      </c>
      <c r="I127" t="s">
        <v>52</v>
      </c>
      <c r="J127" t="s">
        <v>58</v>
      </c>
      <c r="R127">
        <v>34014</v>
      </c>
      <c r="S127" s="3">
        <v>42053</v>
      </c>
      <c r="T127">
        <v>15.654210873</v>
      </c>
      <c r="U127">
        <v>0.87480980418999998</v>
      </c>
      <c r="V127">
        <v>0.78723024768000005</v>
      </c>
      <c r="W127" t="s">
        <v>52</v>
      </c>
      <c r="X127" t="s">
        <v>58</v>
      </c>
    </row>
    <row r="128" spans="4:24" x14ac:dyDescent="0.25">
      <c r="D128">
        <v>34207</v>
      </c>
      <c r="E128" s="3">
        <v>42055</v>
      </c>
      <c r="F128">
        <v>18.127237619999999</v>
      </c>
      <c r="G128">
        <v>0.76679653915000001</v>
      </c>
      <c r="H128">
        <v>0.96710116453999995</v>
      </c>
      <c r="I128" t="s">
        <v>52</v>
      </c>
      <c r="J128" t="s">
        <v>59</v>
      </c>
      <c r="R128">
        <v>34015</v>
      </c>
      <c r="S128" s="3">
        <v>42053</v>
      </c>
      <c r="T128">
        <v>15.654210873</v>
      </c>
      <c r="U128">
        <v>0.87480980418999998</v>
      </c>
      <c r="V128">
        <v>0.78723024768000005</v>
      </c>
      <c r="W128" t="s">
        <v>52</v>
      </c>
      <c r="X128" t="s">
        <v>59</v>
      </c>
    </row>
    <row r="129" spans="4:24" x14ac:dyDescent="0.25">
      <c r="D129">
        <v>34208</v>
      </c>
      <c r="E129" s="3">
        <v>42055</v>
      </c>
      <c r="F129">
        <v>18.127237619999999</v>
      </c>
      <c r="G129">
        <v>0.76679653915000001</v>
      </c>
      <c r="H129">
        <v>0.96710116453999995</v>
      </c>
      <c r="I129" t="s">
        <v>52</v>
      </c>
      <c r="J129" t="s">
        <v>60</v>
      </c>
      <c r="R129">
        <v>34016</v>
      </c>
      <c r="S129" s="3">
        <v>42053</v>
      </c>
      <c r="T129">
        <v>15.654210873</v>
      </c>
      <c r="U129">
        <v>0.87480980418999998</v>
      </c>
      <c r="V129">
        <v>0.78723024768000005</v>
      </c>
      <c r="W129" t="s">
        <v>52</v>
      </c>
      <c r="X129" t="s">
        <v>60</v>
      </c>
    </row>
    <row r="130" spans="4:24" x14ac:dyDescent="0.25">
      <c r="D130">
        <v>34209</v>
      </c>
      <c r="E130" s="3">
        <v>42055</v>
      </c>
      <c r="F130">
        <v>18.762333276</v>
      </c>
      <c r="G130">
        <v>0.71528911256000005</v>
      </c>
      <c r="H130">
        <v>0.96665567975</v>
      </c>
      <c r="I130" t="s">
        <v>61</v>
      </c>
      <c r="J130" t="s">
        <v>62</v>
      </c>
      <c r="R130">
        <v>34017</v>
      </c>
      <c r="S130" s="3">
        <v>42053</v>
      </c>
      <c r="T130">
        <v>16.973668298</v>
      </c>
      <c r="U130">
        <v>0.83193470753999998</v>
      </c>
      <c r="V130">
        <v>0.78562846836</v>
      </c>
      <c r="W130" t="s">
        <v>61</v>
      </c>
      <c r="X130" t="s">
        <v>62</v>
      </c>
    </row>
    <row r="131" spans="4:24" x14ac:dyDescent="0.25">
      <c r="D131">
        <v>34210</v>
      </c>
      <c r="E131" s="3">
        <v>42055</v>
      </c>
      <c r="F131">
        <v>18.762333276</v>
      </c>
      <c r="G131">
        <v>0.71528911256000005</v>
      </c>
      <c r="H131">
        <v>0.96665567975</v>
      </c>
      <c r="I131" t="s">
        <v>61</v>
      </c>
      <c r="J131" t="s">
        <v>63</v>
      </c>
      <c r="R131">
        <v>34018</v>
      </c>
      <c r="S131" s="3">
        <v>42053</v>
      </c>
      <c r="T131">
        <v>16.973668298</v>
      </c>
      <c r="U131">
        <v>0.83193470753999998</v>
      </c>
      <c r="V131">
        <v>0.78562846836</v>
      </c>
      <c r="W131" t="s">
        <v>61</v>
      </c>
      <c r="X131" t="s">
        <v>63</v>
      </c>
    </row>
    <row r="132" spans="4:24" x14ac:dyDescent="0.25">
      <c r="D132">
        <v>34211</v>
      </c>
      <c r="E132" s="3">
        <v>42055</v>
      </c>
      <c r="F132">
        <v>18.762333276</v>
      </c>
      <c r="G132">
        <v>0.71528911256000005</v>
      </c>
      <c r="H132">
        <v>0.96665567975</v>
      </c>
      <c r="I132" t="s">
        <v>61</v>
      </c>
      <c r="J132" t="s">
        <v>64</v>
      </c>
      <c r="R132">
        <v>34019</v>
      </c>
      <c r="S132" s="3">
        <v>42053</v>
      </c>
      <c r="T132">
        <v>16.973668298</v>
      </c>
      <c r="U132">
        <v>0.83193470753999998</v>
      </c>
      <c r="V132">
        <v>0.78562846836</v>
      </c>
      <c r="W132" t="s">
        <v>61</v>
      </c>
      <c r="X132" t="s">
        <v>64</v>
      </c>
    </row>
    <row r="133" spans="4:24" x14ac:dyDescent="0.25">
      <c r="D133">
        <v>34212</v>
      </c>
      <c r="E133" s="3">
        <v>42055</v>
      </c>
      <c r="F133">
        <v>18.762333276</v>
      </c>
      <c r="G133">
        <v>0.71528911256000005</v>
      </c>
      <c r="H133">
        <v>0.96665567975</v>
      </c>
      <c r="I133" t="s">
        <v>61</v>
      </c>
      <c r="J133" t="s">
        <v>65</v>
      </c>
      <c r="R133">
        <v>34020</v>
      </c>
      <c r="S133" s="3">
        <v>42053</v>
      </c>
      <c r="T133">
        <v>16.973668298</v>
      </c>
      <c r="U133">
        <v>0.83193470753999998</v>
      </c>
      <c r="V133">
        <v>0.78562846836</v>
      </c>
      <c r="W133" t="s">
        <v>61</v>
      </c>
      <c r="X133" t="s">
        <v>65</v>
      </c>
    </row>
    <row r="134" spans="4:24" x14ac:dyDescent="0.25">
      <c r="D134">
        <v>34213</v>
      </c>
      <c r="E134" s="3">
        <v>42055</v>
      </c>
      <c r="F134">
        <v>19.532073212</v>
      </c>
      <c r="G134">
        <v>0.66865210597000002</v>
      </c>
      <c r="H134">
        <v>0.96985923838999999</v>
      </c>
      <c r="I134" t="s">
        <v>66</v>
      </c>
      <c r="J134" t="s">
        <v>67</v>
      </c>
      <c r="R134">
        <v>34021</v>
      </c>
      <c r="S134" s="3">
        <v>42053</v>
      </c>
      <c r="T134">
        <v>18.06286566</v>
      </c>
      <c r="U134">
        <v>0.78689110401999995</v>
      </c>
      <c r="V134">
        <v>0.78402668903999995</v>
      </c>
      <c r="W134" t="s">
        <v>66</v>
      </c>
      <c r="X134" t="s">
        <v>67</v>
      </c>
    </row>
    <row r="135" spans="4:24" x14ac:dyDescent="0.25">
      <c r="D135">
        <v>34214</v>
      </c>
      <c r="E135" s="3">
        <v>42055</v>
      </c>
      <c r="F135">
        <v>19.532073212</v>
      </c>
      <c r="G135">
        <v>0.66865210597000002</v>
      </c>
      <c r="H135">
        <v>0.96985923838999999</v>
      </c>
      <c r="I135" t="s">
        <v>66</v>
      </c>
      <c r="J135" t="s">
        <v>68</v>
      </c>
      <c r="R135">
        <v>34022</v>
      </c>
      <c r="S135" s="3">
        <v>42053</v>
      </c>
      <c r="T135">
        <v>18.06286566</v>
      </c>
      <c r="U135">
        <v>0.78689110401999995</v>
      </c>
      <c r="V135">
        <v>0.78402668903999995</v>
      </c>
      <c r="W135" t="s">
        <v>66</v>
      </c>
      <c r="X135" t="s">
        <v>68</v>
      </c>
    </row>
    <row r="136" spans="4:24" x14ac:dyDescent="0.25">
      <c r="D136">
        <v>34215</v>
      </c>
      <c r="E136" s="3">
        <v>42055</v>
      </c>
      <c r="F136">
        <v>19.532073212</v>
      </c>
      <c r="G136">
        <v>0.66865210597000002</v>
      </c>
      <c r="H136">
        <v>0.96985923838999999</v>
      </c>
      <c r="I136" t="s">
        <v>66</v>
      </c>
      <c r="J136" t="s">
        <v>69</v>
      </c>
      <c r="R136">
        <v>34023</v>
      </c>
      <c r="S136" s="3">
        <v>42053</v>
      </c>
      <c r="T136">
        <v>18.06286566</v>
      </c>
      <c r="U136">
        <v>0.78689110401999995</v>
      </c>
      <c r="V136">
        <v>0.78402668903999995</v>
      </c>
      <c r="W136" t="s">
        <v>66</v>
      </c>
      <c r="X136" t="s">
        <v>69</v>
      </c>
    </row>
    <row r="137" spans="4:24" x14ac:dyDescent="0.25">
      <c r="D137">
        <v>34216</v>
      </c>
      <c r="E137" s="3">
        <v>42055</v>
      </c>
      <c r="F137">
        <v>19.532073212</v>
      </c>
      <c r="G137">
        <v>0.66865210597000002</v>
      </c>
      <c r="H137">
        <v>0.96985923838999999</v>
      </c>
      <c r="I137" t="s">
        <v>66</v>
      </c>
      <c r="J137" t="s">
        <v>70</v>
      </c>
      <c r="R137">
        <v>34024</v>
      </c>
      <c r="S137" s="3">
        <v>42053</v>
      </c>
      <c r="T137">
        <v>18.06286566</v>
      </c>
      <c r="U137">
        <v>0.78689110401999995</v>
      </c>
      <c r="V137">
        <v>0.78402668903999995</v>
      </c>
      <c r="W137" t="s">
        <v>66</v>
      </c>
      <c r="X137" t="s">
        <v>70</v>
      </c>
    </row>
    <row r="138" spans="4:24" x14ac:dyDescent="0.25">
      <c r="D138">
        <v>34217</v>
      </c>
      <c r="E138" s="3">
        <v>42055</v>
      </c>
      <c r="F138">
        <v>19.575340906000001</v>
      </c>
      <c r="G138">
        <v>0.66450267205000002</v>
      </c>
      <c r="H138">
        <v>0.96781197427999999</v>
      </c>
      <c r="I138" t="s">
        <v>71</v>
      </c>
      <c r="J138" t="s">
        <v>72</v>
      </c>
      <c r="R138">
        <v>34025</v>
      </c>
      <c r="S138" s="3">
        <v>42053</v>
      </c>
      <c r="T138">
        <v>18.675409235</v>
      </c>
      <c r="U138">
        <v>0.69824889915999999</v>
      </c>
      <c r="V138">
        <v>0.78242490972000001</v>
      </c>
      <c r="W138" t="s">
        <v>71</v>
      </c>
      <c r="X138" t="s">
        <v>72</v>
      </c>
    </row>
    <row r="139" spans="4:24" x14ac:dyDescent="0.25">
      <c r="D139">
        <v>34218</v>
      </c>
      <c r="E139" s="3">
        <v>42055</v>
      </c>
      <c r="F139">
        <v>19.575340906000001</v>
      </c>
      <c r="G139">
        <v>0.66450267205000002</v>
      </c>
      <c r="H139">
        <v>0.96781197427999999</v>
      </c>
      <c r="I139" t="s">
        <v>71</v>
      </c>
      <c r="J139" t="s">
        <v>73</v>
      </c>
      <c r="R139">
        <v>34026</v>
      </c>
      <c r="S139" s="3">
        <v>42053</v>
      </c>
      <c r="T139">
        <v>18.675409235</v>
      </c>
      <c r="U139">
        <v>0.69824889915999999</v>
      </c>
      <c r="V139">
        <v>0.78242490972000001</v>
      </c>
      <c r="W139" t="s">
        <v>71</v>
      </c>
      <c r="X139" t="s">
        <v>73</v>
      </c>
    </row>
    <row r="140" spans="4:24" x14ac:dyDescent="0.25">
      <c r="D140">
        <v>34219</v>
      </c>
      <c r="E140" s="3">
        <v>42055</v>
      </c>
      <c r="F140">
        <v>19.575340906000001</v>
      </c>
      <c r="G140">
        <v>0.66450267205000002</v>
      </c>
      <c r="H140">
        <v>0.96781197427999999</v>
      </c>
      <c r="I140" t="s">
        <v>71</v>
      </c>
      <c r="J140" t="s">
        <v>74</v>
      </c>
      <c r="R140">
        <v>34027</v>
      </c>
      <c r="S140" s="3">
        <v>42053</v>
      </c>
      <c r="T140">
        <v>18.675409235</v>
      </c>
      <c r="U140">
        <v>0.69824889915999999</v>
      </c>
      <c r="V140">
        <v>0.78242490972000001</v>
      </c>
      <c r="W140" t="s">
        <v>71</v>
      </c>
      <c r="X140" t="s">
        <v>74</v>
      </c>
    </row>
    <row r="141" spans="4:24" x14ac:dyDescent="0.25">
      <c r="D141">
        <v>34220</v>
      </c>
      <c r="E141" s="3">
        <v>42055</v>
      </c>
      <c r="F141">
        <v>19.575340906000001</v>
      </c>
      <c r="G141">
        <v>0.66450267205000002</v>
      </c>
      <c r="H141">
        <v>0.96781197427999999</v>
      </c>
      <c r="I141" t="s">
        <v>71</v>
      </c>
      <c r="J141" t="s">
        <v>75</v>
      </c>
      <c r="R141">
        <v>34028</v>
      </c>
      <c r="S141" s="3">
        <v>42053</v>
      </c>
      <c r="T141">
        <v>18.675409235</v>
      </c>
      <c r="U141">
        <v>0.69824889915999999</v>
      </c>
      <c r="V141">
        <v>0.78242490972000001</v>
      </c>
      <c r="W141" t="s">
        <v>71</v>
      </c>
      <c r="X141" t="s">
        <v>75</v>
      </c>
    </row>
    <row r="142" spans="4:24" x14ac:dyDescent="0.25">
      <c r="D142">
        <v>34221</v>
      </c>
      <c r="E142" s="3">
        <v>42055</v>
      </c>
      <c r="F142">
        <v>20.248476836999998</v>
      </c>
      <c r="G142">
        <v>0.67003058447999997</v>
      </c>
      <c r="H142">
        <v>0.96609793657999998</v>
      </c>
      <c r="I142" t="s">
        <v>71</v>
      </c>
      <c r="J142" t="s">
        <v>76</v>
      </c>
      <c r="R142">
        <v>34029</v>
      </c>
      <c r="S142" s="3">
        <v>42053</v>
      </c>
      <c r="T142">
        <v>19.873627441</v>
      </c>
      <c r="U142">
        <v>0.70825530259000002</v>
      </c>
      <c r="V142">
        <v>0.78082313039999995</v>
      </c>
      <c r="W142" t="s">
        <v>71</v>
      </c>
      <c r="X142" t="s">
        <v>76</v>
      </c>
    </row>
    <row r="143" spans="4:24" x14ac:dyDescent="0.25">
      <c r="D143">
        <v>34222</v>
      </c>
      <c r="E143" s="3">
        <v>42055</v>
      </c>
      <c r="F143">
        <v>20.248476836999998</v>
      </c>
      <c r="G143">
        <v>0.67003058447999997</v>
      </c>
      <c r="H143">
        <v>0.96609793657999998</v>
      </c>
      <c r="I143" t="s">
        <v>71</v>
      </c>
      <c r="J143" t="s">
        <v>77</v>
      </c>
      <c r="R143">
        <v>34030</v>
      </c>
      <c r="S143" s="3">
        <v>42053</v>
      </c>
      <c r="T143">
        <v>19.873627441</v>
      </c>
      <c r="U143">
        <v>0.70825530259000002</v>
      </c>
      <c r="V143">
        <v>0.78082313039999995</v>
      </c>
      <c r="W143" t="s">
        <v>71</v>
      </c>
      <c r="X143" t="s">
        <v>77</v>
      </c>
    </row>
    <row r="144" spans="4:24" x14ac:dyDescent="0.25">
      <c r="D144">
        <v>34223</v>
      </c>
      <c r="E144" s="3">
        <v>42055</v>
      </c>
      <c r="F144">
        <v>20.248476836999998</v>
      </c>
      <c r="G144">
        <v>0.67003058447999997</v>
      </c>
      <c r="H144">
        <v>0.96609793657999998</v>
      </c>
      <c r="I144" t="s">
        <v>71</v>
      </c>
      <c r="J144" t="s">
        <v>78</v>
      </c>
      <c r="R144">
        <v>34031</v>
      </c>
      <c r="S144" s="3">
        <v>42053</v>
      </c>
      <c r="T144">
        <v>19.873627441</v>
      </c>
      <c r="U144">
        <v>0.70825530259000002</v>
      </c>
      <c r="V144">
        <v>0.78082313039999995</v>
      </c>
      <c r="W144" t="s">
        <v>71</v>
      </c>
      <c r="X144" t="s">
        <v>78</v>
      </c>
    </row>
    <row r="145" spans="4:24" x14ac:dyDescent="0.25">
      <c r="D145">
        <v>34224</v>
      </c>
      <c r="E145" s="3">
        <v>42055</v>
      </c>
      <c r="F145">
        <v>20.248476836999998</v>
      </c>
      <c r="G145">
        <v>0.67003058447999997</v>
      </c>
      <c r="H145">
        <v>0.96609793657999998</v>
      </c>
      <c r="I145" t="s">
        <v>71</v>
      </c>
      <c r="J145" t="s">
        <v>79</v>
      </c>
      <c r="R145">
        <v>34032</v>
      </c>
      <c r="S145" s="3">
        <v>42053</v>
      </c>
      <c r="T145">
        <v>19.873627441</v>
      </c>
      <c r="U145">
        <v>0.70825530259000002</v>
      </c>
      <c r="V145">
        <v>0.78082313039999995</v>
      </c>
      <c r="W145" t="s">
        <v>71</v>
      </c>
      <c r="X145" t="s">
        <v>79</v>
      </c>
    </row>
    <row r="146" spans="4:24" x14ac:dyDescent="0.25">
      <c r="D146">
        <v>34225</v>
      </c>
      <c r="E146" s="3">
        <v>42055</v>
      </c>
      <c r="F146">
        <v>20.969333006999999</v>
      </c>
      <c r="G146">
        <v>0.67942829647000003</v>
      </c>
      <c r="H146">
        <v>0.96416293085000004</v>
      </c>
      <c r="I146" t="s">
        <v>80</v>
      </c>
      <c r="J146" t="s">
        <v>81</v>
      </c>
      <c r="R146">
        <v>34033</v>
      </c>
      <c r="S146" s="3">
        <v>42053</v>
      </c>
      <c r="T146">
        <v>22.077073065</v>
      </c>
      <c r="U146">
        <v>0.61805599042000003</v>
      </c>
      <c r="V146">
        <v>0.78388516001999997</v>
      </c>
      <c r="W146" t="s">
        <v>80</v>
      </c>
      <c r="X146" t="s">
        <v>81</v>
      </c>
    </row>
    <row r="147" spans="4:24" x14ac:dyDescent="0.25">
      <c r="D147">
        <v>34226</v>
      </c>
      <c r="E147" s="3">
        <v>42055</v>
      </c>
      <c r="F147">
        <v>20.969333006999999</v>
      </c>
      <c r="G147">
        <v>0.67942829647000003</v>
      </c>
      <c r="H147">
        <v>0.96416293085000004</v>
      </c>
      <c r="I147" t="s">
        <v>80</v>
      </c>
      <c r="J147" t="s">
        <v>82</v>
      </c>
      <c r="R147">
        <v>34034</v>
      </c>
      <c r="S147" s="3">
        <v>42053</v>
      </c>
      <c r="T147">
        <v>22.077073065</v>
      </c>
      <c r="U147">
        <v>0.61805599042000003</v>
      </c>
      <c r="V147">
        <v>0.78388516001999997</v>
      </c>
      <c r="W147" t="s">
        <v>80</v>
      </c>
      <c r="X147" t="s">
        <v>82</v>
      </c>
    </row>
    <row r="148" spans="4:24" x14ac:dyDescent="0.25">
      <c r="D148">
        <v>34227</v>
      </c>
      <c r="E148" s="3">
        <v>42055</v>
      </c>
      <c r="F148">
        <v>20.969333006999999</v>
      </c>
      <c r="G148">
        <v>0.67942829647000003</v>
      </c>
      <c r="H148">
        <v>0.96416293085000004</v>
      </c>
      <c r="I148" t="s">
        <v>80</v>
      </c>
      <c r="J148" t="s">
        <v>83</v>
      </c>
      <c r="R148">
        <v>34035</v>
      </c>
      <c r="S148" s="3">
        <v>42053</v>
      </c>
      <c r="T148">
        <v>22.077073065</v>
      </c>
      <c r="U148">
        <v>0.61805599042000003</v>
      </c>
      <c r="V148">
        <v>0.78388516001999997</v>
      </c>
      <c r="W148" t="s">
        <v>80</v>
      </c>
      <c r="X148" t="s">
        <v>83</v>
      </c>
    </row>
    <row r="149" spans="4:24" x14ac:dyDescent="0.25">
      <c r="D149">
        <v>34228</v>
      </c>
      <c r="E149" s="3">
        <v>42055</v>
      </c>
      <c r="F149">
        <v>20.969333006999999</v>
      </c>
      <c r="G149">
        <v>0.67942829647000003</v>
      </c>
      <c r="H149">
        <v>0.96416293085000004</v>
      </c>
      <c r="I149" t="s">
        <v>80</v>
      </c>
      <c r="J149" t="s">
        <v>84</v>
      </c>
      <c r="R149">
        <v>34036</v>
      </c>
      <c r="S149" s="3">
        <v>42053</v>
      </c>
      <c r="T149">
        <v>22.077073065</v>
      </c>
      <c r="U149">
        <v>0.61805599042000003</v>
      </c>
      <c r="V149">
        <v>0.78388516001999997</v>
      </c>
      <c r="W149" t="s">
        <v>80</v>
      </c>
      <c r="X149" t="s">
        <v>84</v>
      </c>
    </row>
    <row r="150" spans="4:24" x14ac:dyDescent="0.25">
      <c r="D150">
        <v>34229</v>
      </c>
      <c r="E150" s="3">
        <v>42055</v>
      </c>
      <c r="F150">
        <v>20.641087749</v>
      </c>
      <c r="G150">
        <v>0.71588886867000001</v>
      </c>
      <c r="H150">
        <v>0.84447295419000001</v>
      </c>
      <c r="I150" t="s">
        <v>80</v>
      </c>
      <c r="J150" t="s">
        <v>85</v>
      </c>
      <c r="R150">
        <v>34037</v>
      </c>
      <c r="S150" s="3">
        <v>42053</v>
      </c>
      <c r="T150">
        <v>22.111233331000001</v>
      </c>
      <c r="U150">
        <v>0.62220811137999998</v>
      </c>
      <c r="V150">
        <v>0.71034484032</v>
      </c>
      <c r="W150" t="s">
        <v>80</v>
      </c>
      <c r="X150" t="s">
        <v>85</v>
      </c>
    </row>
    <row r="151" spans="4:24" x14ac:dyDescent="0.25">
      <c r="D151">
        <v>34230</v>
      </c>
      <c r="E151" s="3">
        <v>42055</v>
      </c>
      <c r="F151">
        <v>20.641087749</v>
      </c>
      <c r="G151">
        <v>0.71588886867000001</v>
      </c>
      <c r="H151">
        <v>0.84447295419000001</v>
      </c>
      <c r="I151" t="s">
        <v>80</v>
      </c>
      <c r="J151" t="s">
        <v>86</v>
      </c>
      <c r="R151">
        <v>34038</v>
      </c>
      <c r="S151" s="3">
        <v>42053</v>
      </c>
      <c r="T151">
        <v>22.111233331000001</v>
      </c>
      <c r="U151">
        <v>0.62220811137999998</v>
      </c>
      <c r="V151">
        <v>0.71034484032</v>
      </c>
      <c r="W151" t="s">
        <v>80</v>
      </c>
      <c r="X151" t="s">
        <v>86</v>
      </c>
    </row>
    <row r="152" spans="4:24" x14ac:dyDescent="0.25">
      <c r="D152">
        <v>34231</v>
      </c>
      <c r="E152" s="3">
        <v>42055</v>
      </c>
      <c r="F152">
        <v>20.641087749</v>
      </c>
      <c r="G152">
        <v>0.71588886867000001</v>
      </c>
      <c r="H152">
        <v>0.84447295419000001</v>
      </c>
      <c r="I152" t="s">
        <v>80</v>
      </c>
      <c r="J152" t="s">
        <v>87</v>
      </c>
      <c r="R152">
        <v>34039</v>
      </c>
      <c r="S152" s="3">
        <v>42053</v>
      </c>
      <c r="T152">
        <v>22.111233331000001</v>
      </c>
      <c r="U152">
        <v>0.62220811137999998</v>
      </c>
      <c r="V152">
        <v>0.71034484032</v>
      </c>
      <c r="W152" t="s">
        <v>80</v>
      </c>
      <c r="X152" t="s">
        <v>87</v>
      </c>
    </row>
    <row r="153" spans="4:24" x14ac:dyDescent="0.25">
      <c r="D153">
        <v>34232</v>
      </c>
      <c r="E153" s="3">
        <v>42055</v>
      </c>
      <c r="F153">
        <v>20.641087749</v>
      </c>
      <c r="G153">
        <v>0.71588886867000001</v>
      </c>
      <c r="H153">
        <v>0.84447295419000001</v>
      </c>
      <c r="I153" t="s">
        <v>80</v>
      </c>
      <c r="J153" t="s">
        <v>88</v>
      </c>
      <c r="R153">
        <v>34040</v>
      </c>
      <c r="S153" s="3">
        <v>42053</v>
      </c>
      <c r="T153">
        <v>22.111233331000001</v>
      </c>
      <c r="U153">
        <v>0.62220811137999998</v>
      </c>
      <c r="V153">
        <v>0.71034484032</v>
      </c>
      <c r="W153" t="s">
        <v>80</v>
      </c>
      <c r="X153" t="s">
        <v>88</v>
      </c>
    </row>
    <row r="154" spans="4:24" x14ac:dyDescent="0.25">
      <c r="D154">
        <v>34233</v>
      </c>
      <c r="E154" s="3">
        <v>42055</v>
      </c>
      <c r="F154">
        <v>22.271465769999999</v>
      </c>
      <c r="G154">
        <v>0.67000735751999996</v>
      </c>
      <c r="H154">
        <v>0.80552759783000005</v>
      </c>
      <c r="I154" t="s">
        <v>89</v>
      </c>
      <c r="J154" t="s">
        <v>90</v>
      </c>
      <c r="R154">
        <v>34041</v>
      </c>
      <c r="S154" s="3">
        <v>42053</v>
      </c>
      <c r="T154">
        <v>21.48120041</v>
      </c>
      <c r="U154">
        <v>0.72761659212999996</v>
      </c>
      <c r="V154">
        <v>0.77530798675000001</v>
      </c>
      <c r="W154" t="s">
        <v>89</v>
      </c>
      <c r="X154" t="s">
        <v>90</v>
      </c>
    </row>
    <row r="155" spans="4:24" x14ac:dyDescent="0.25">
      <c r="D155">
        <v>34234</v>
      </c>
      <c r="E155" s="3">
        <v>42055</v>
      </c>
      <c r="F155">
        <v>22.271465769999999</v>
      </c>
      <c r="G155">
        <v>0.67000735751999996</v>
      </c>
      <c r="H155">
        <v>0.80552759783000005</v>
      </c>
      <c r="I155" t="s">
        <v>89</v>
      </c>
      <c r="J155" t="s">
        <v>91</v>
      </c>
      <c r="R155">
        <v>34042</v>
      </c>
      <c r="S155" s="3">
        <v>42053</v>
      </c>
      <c r="T155">
        <v>21.48120041</v>
      </c>
      <c r="U155">
        <v>0.72761659212999996</v>
      </c>
      <c r="V155">
        <v>0.77530798675000001</v>
      </c>
      <c r="W155" t="s">
        <v>89</v>
      </c>
      <c r="X155" t="s">
        <v>91</v>
      </c>
    </row>
    <row r="156" spans="4:24" x14ac:dyDescent="0.25">
      <c r="D156">
        <v>34235</v>
      </c>
      <c r="E156" s="3">
        <v>42055</v>
      </c>
      <c r="F156">
        <v>22.271465769999999</v>
      </c>
      <c r="G156">
        <v>0.67000735751999996</v>
      </c>
      <c r="H156">
        <v>0.80552759783000005</v>
      </c>
      <c r="I156" t="s">
        <v>89</v>
      </c>
      <c r="J156" t="s">
        <v>92</v>
      </c>
      <c r="R156">
        <v>34043</v>
      </c>
      <c r="S156" s="3">
        <v>42053</v>
      </c>
      <c r="T156">
        <v>21.48120041</v>
      </c>
      <c r="U156">
        <v>0.72761659212999996</v>
      </c>
      <c r="V156">
        <v>0.77530798675000001</v>
      </c>
      <c r="W156" t="s">
        <v>89</v>
      </c>
      <c r="X156" t="s">
        <v>92</v>
      </c>
    </row>
    <row r="157" spans="4:24" x14ac:dyDescent="0.25">
      <c r="D157">
        <v>34236</v>
      </c>
      <c r="E157" s="3">
        <v>42055</v>
      </c>
      <c r="F157">
        <v>22.271465769999999</v>
      </c>
      <c r="G157">
        <v>0.67000735751999996</v>
      </c>
      <c r="H157">
        <v>0.80552759783000005</v>
      </c>
      <c r="I157" t="s">
        <v>89</v>
      </c>
      <c r="J157" t="s">
        <v>93</v>
      </c>
      <c r="R157">
        <v>34044</v>
      </c>
      <c r="S157" s="3">
        <v>42053</v>
      </c>
      <c r="T157">
        <v>21.48120041</v>
      </c>
      <c r="U157">
        <v>0.72761659212999996</v>
      </c>
      <c r="V157">
        <v>0.77530798675000001</v>
      </c>
      <c r="W157" t="s">
        <v>89</v>
      </c>
      <c r="X157" t="s">
        <v>93</v>
      </c>
    </row>
    <row r="158" spans="4:24" x14ac:dyDescent="0.25">
      <c r="D158">
        <v>34237</v>
      </c>
      <c r="E158" s="3">
        <v>42055</v>
      </c>
      <c r="F158">
        <v>20.617998408999998</v>
      </c>
      <c r="G158">
        <v>0.71923241850999997</v>
      </c>
      <c r="H158">
        <v>0.86952983984999999</v>
      </c>
      <c r="I158" t="s">
        <v>89</v>
      </c>
      <c r="J158" t="s">
        <v>94</v>
      </c>
      <c r="R158">
        <v>34045</v>
      </c>
      <c r="S158" s="3">
        <v>42053</v>
      </c>
      <c r="T158">
        <v>22.975303950000001</v>
      </c>
      <c r="U158">
        <v>0.64921572859999999</v>
      </c>
      <c r="V158">
        <v>0.69135994868999995</v>
      </c>
      <c r="W158" t="s">
        <v>89</v>
      </c>
      <c r="X158" t="s">
        <v>94</v>
      </c>
    </row>
    <row r="159" spans="4:24" x14ac:dyDescent="0.25">
      <c r="D159">
        <v>34238</v>
      </c>
      <c r="E159" s="3">
        <v>42055</v>
      </c>
      <c r="F159">
        <v>20.617998408999998</v>
      </c>
      <c r="G159">
        <v>0.71923241850999997</v>
      </c>
      <c r="H159">
        <v>0.86952983984999999</v>
      </c>
      <c r="I159" t="s">
        <v>89</v>
      </c>
      <c r="J159" t="s">
        <v>95</v>
      </c>
      <c r="R159">
        <v>34046</v>
      </c>
      <c r="S159" s="3">
        <v>42053</v>
      </c>
      <c r="T159">
        <v>22.975303950000001</v>
      </c>
      <c r="U159">
        <v>0.64921572859999999</v>
      </c>
      <c r="V159">
        <v>0.69135994868999995</v>
      </c>
      <c r="W159" t="s">
        <v>89</v>
      </c>
      <c r="X159" t="s">
        <v>95</v>
      </c>
    </row>
    <row r="160" spans="4:24" x14ac:dyDescent="0.25">
      <c r="D160">
        <v>34239</v>
      </c>
      <c r="E160" s="3">
        <v>42055</v>
      </c>
      <c r="F160">
        <v>20.617998408999998</v>
      </c>
      <c r="G160">
        <v>0.71923241850999997</v>
      </c>
      <c r="H160">
        <v>0.86952983984999999</v>
      </c>
      <c r="I160" t="s">
        <v>89</v>
      </c>
      <c r="J160" t="s">
        <v>96</v>
      </c>
      <c r="R160">
        <v>34047</v>
      </c>
      <c r="S160" s="3">
        <v>42053</v>
      </c>
      <c r="T160">
        <v>22.975303950000001</v>
      </c>
      <c r="U160">
        <v>0.64921572859999999</v>
      </c>
      <c r="V160">
        <v>0.69135994868999995</v>
      </c>
      <c r="W160" t="s">
        <v>89</v>
      </c>
      <c r="X160" t="s">
        <v>96</v>
      </c>
    </row>
    <row r="161" spans="4:24" x14ac:dyDescent="0.25">
      <c r="D161">
        <v>34240</v>
      </c>
      <c r="E161" s="3">
        <v>42055</v>
      </c>
      <c r="F161">
        <v>20.617998408999998</v>
      </c>
      <c r="G161">
        <v>0.71923241850999997</v>
      </c>
      <c r="H161">
        <v>0.86952983984999999</v>
      </c>
      <c r="I161" t="s">
        <v>89</v>
      </c>
      <c r="J161" t="s">
        <v>97</v>
      </c>
      <c r="R161">
        <v>34048</v>
      </c>
      <c r="S161" s="3">
        <v>42053</v>
      </c>
      <c r="T161">
        <v>22.975303950000001</v>
      </c>
      <c r="U161">
        <v>0.64921572859999999</v>
      </c>
      <c r="V161">
        <v>0.69135994868999995</v>
      </c>
      <c r="W161" t="s">
        <v>89</v>
      </c>
      <c r="X161" t="s">
        <v>97</v>
      </c>
    </row>
    <row r="162" spans="4:24" x14ac:dyDescent="0.25">
      <c r="D162">
        <v>34241</v>
      </c>
      <c r="E162" s="3">
        <v>42055</v>
      </c>
      <c r="F162">
        <v>20.529638671000001</v>
      </c>
      <c r="G162">
        <v>0.72960931953999997</v>
      </c>
      <c r="H162">
        <v>0.83252864621</v>
      </c>
      <c r="I162" t="s">
        <v>89</v>
      </c>
      <c r="J162" t="s">
        <v>98</v>
      </c>
      <c r="R162">
        <v>34049</v>
      </c>
      <c r="S162" s="3">
        <v>42053</v>
      </c>
      <c r="T162">
        <v>23.179102952000001</v>
      </c>
      <c r="U162">
        <v>0.63838341572000001</v>
      </c>
      <c r="V162">
        <v>0.70988262744999997</v>
      </c>
      <c r="W162" t="s">
        <v>89</v>
      </c>
      <c r="X162" t="s">
        <v>98</v>
      </c>
    </row>
    <row r="163" spans="4:24" x14ac:dyDescent="0.25">
      <c r="D163">
        <v>34242</v>
      </c>
      <c r="E163" s="3">
        <v>42055</v>
      </c>
      <c r="F163">
        <v>20.529638671000001</v>
      </c>
      <c r="G163">
        <v>0.72960931953999997</v>
      </c>
      <c r="H163">
        <v>0.83252864621</v>
      </c>
      <c r="I163" t="s">
        <v>89</v>
      </c>
      <c r="J163" t="s">
        <v>99</v>
      </c>
      <c r="R163">
        <v>34050</v>
      </c>
      <c r="S163" s="3">
        <v>42053</v>
      </c>
      <c r="T163">
        <v>23.179102952000001</v>
      </c>
      <c r="U163">
        <v>0.63838341572000001</v>
      </c>
      <c r="V163">
        <v>0.70988262744999997</v>
      </c>
      <c r="W163" t="s">
        <v>89</v>
      </c>
      <c r="X163" t="s">
        <v>99</v>
      </c>
    </row>
    <row r="164" spans="4:24" x14ac:dyDescent="0.25">
      <c r="D164">
        <v>34243</v>
      </c>
      <c r="E164" s="3">
        <v>42055</v>
      </c>
      <c r="F164">
        <v>20.529638671000001</v>
      </c>
      <c r="G164">
        <v>0.72960931953999997</v>
      </c>
      <c r="H164">
        <v>0.83252864621</v>
      </c>
      <c r="I164" t="s">
        <v>89</v>
      </c>
      <c r="J164" t="s">
        <v>100</v>
      </c>
      <c r="R164">
        <v>34051</v>
      </c>
      <c r="S164" s="3">
        <v>42053</v>
      </c>
      <c r="T164">
        <v>23.179102952000001</v>
      </c>
      <c r="U164">
        <v>0.63838341572000001</v>
      </c>
      <c r="V164">
        <v>0.70988262744999997</v>
      </c>
      <c r="W164" t="s">
        <v>89</v>
      </c>
      <c r="X164" t="s">
        <v>100</v>
      </c>
    </row>
    <row r="165" spans="4:24" x14ac:dyDescent="0.25">
      <c r="D165">
        <v>34244</v>
      </c>
      <c r="E165" s="3">
        <v>42055</v>
      </c>
      <c r="F165">
        <v>20.529638671000001</v>
      </c>
      <c r="G165">
        <v>0.72960931953999997</v>
      </c>
      <c r="H165">
        <v>0.83252864621</v>
      </c>
      <c r="I165" t="s">
        <v>89</v>
      </c>
      <c r="J165" t="s">
        <v>101</v>
      </c>
      <c r="R165">
        <v>34052</v>
      </c>
      <c r="S165" s="3">
        <v>42053</v>
      </c>
      <c r="T165">
        <v>23.179102952000001</v>
      </c>
      <c r="U165">
        <v>0.63838341572000001</v>
      </c>
      <c r="V165">
        <v>0.70988262744999997</v>
      </c>
      <c r="W165" t="s">
        <v>89</v>
      </c>
      <c r="X165" t="s">
        <v>101</v>
      </c>
    </row>
    <row r="166" spans="4:24" x14ac:dyDescent="0.25">
      <c r="D166">
        <v>34245</v>
      </c>
      <c r="E166" s="3">
        <v>42055</v>
      </c>
      <c r="F166">
        <v>20.094652196999998</v>
      </c>
      <c r="G166">
        <v>0.72174803040000002</v>
      </c>
      <c r="H166">
        <v>0.76514255518999996</v>
      </c>
      <c r="I166" t="s">
        <v>102</v>
      </c>
      <c r="J166" t="s">
        <v>103</v>
      </c>
      <c r="R166">
        <v>34053</v>
      </c>
      <c r="S166" s="3">
        <v>42053</v>
      </c>
      <c r="T166">
        <v>22.588656180000001</v>
      </c>
      <c r="U166">
        <v>0.66500790890999995</v>
      </c>
      <c r="V166">
        <v>0.69086792059000002</v>
      </c>
      <c r="W166" t="s">
        <v>102</v>
      </c>
      <c r="X166" t="s">
        <v>103</v>
      </c>
    </row>
    <row r="167" spans="4:24" x14ac:dyDescent="0.25">
      <c r="D167">
        <v>34246</v>
      </c>
      <c r="E167" s="3">
        <v>42055</v>
      </c>
      <c r="F167">
        <v>20.094652196999998</v>
      </c>
      <c r="G167">
        <v>0.72174803040000002</v>
      </c>
      <c r="H167">
        <v>0.76514255518999996</v>
      </c>
      <c r="I167" t="s">
        <v>102</v>
      </c>
      <c r="J167" t="s">
        <v>104</v>
      </c>
      <c r="R167">
        <v>34054</v>
      </c>
      <c r="S167" s="3">
        <v>42053</v>
      </c>
      <c r="T167">
        <v>22.588656180000001</v>
      </c>
      <c r="U167">
        <v>0.66500790890999995</v>
      </c>
      <c r="V167">
        <v>0.69086792059000002</v>
      </c>
      <c r="W167" t="s">
        <v>102</v>
      </c>
      <c r="X167" t="s">
        <v>104</v>
      </c>
    </row>
    <row r="168" spans="4:24" x14ac:dyDescent="0.25">
      <c r="D168">
        <v>34247</v>
      </c>
      <c r="E168" s="3">
        <v>42055</v>
      </c>
      <c r="F168">
        <v>20.094652196999998</v>
      </c>
      <c r="G168">
        <v>0.72174803040000002</v>
      </c>
      <c r="H168">
        <v>0.76514255518999996</v>
      </c>
      <c r="I168" t="s">
        <v>102</v>
      </c>
      <c r="J168" t="s">
        <v>105</v>
      </c>
      <c r="R168">
        <v>34055</v>
      </c>
      <c r="S168" s="3">
        <v>42053</v>
      </c>
      <c r="T168">
        <v>22.588656180000001</v>
      </c>
      <c r="U168">
        <v>0.66500790890999995</v>
      </c>
      <c r="V168">
        <v>0.69086792059000002</v>
      </c>
      <c r="W168" t="s">
        <v>102</v>
      </c>
      <c r="X168" t="s">
        <v>105</v>
      </c>
    </row>
    <row r="169" spans="4:24" x14ac:dyDescent="0.25">
      <c r="D169">
        <v>34248</v>
      </c>
      <c r="E169" s="3">
        <v>42055</v>
      </c>
      <c r="F169">
        <v>20.094652196999998</v>
      </c>
      <c r="G169">
        <v>0.72174803040000002</v>
      </c>
      <c r="H169">
        <v>0.76514255518999996</v>
      </c>
      <c r="I169" t="s">
        <v>102</v>
      </c>
      <c r="J169" t="s">
        <v>106</v>
      </c>
      <c r="R169">
        <v>34056</v>
      </c>
      <c r="S169" s="3">
        <v>42053</v>
      </c>
      <c r="T169">
        <v>22.588656180000001</v>
      </c>
      <c r="U169">
        <v>0.66500790890999995</v>
      </c>
      <c r="V169">
        <v>0.69086792059000002</v>
      </c>
      <c r="W169" t="s">
        <v>102</v>
      </c>
      <c r="X169" t="s">
        <v>106</v>
      </c>
    </row>
    <row r="170" spans="4:24" x14ac:dyDescent="0.25">
      <c r="D170">
        <v>34249</v>
      </c>
      <c r="E170" s="3">
        <v>42055</v>
      </c>
      <c r="F170">
        <v>18.230642392</v>
      </c>
      <c r="G170">
        <v>0.81467193363000001</v>
      </c>
      <c r="H170">
        <v>0.70133513215999999</v>
      </c>
      <c r="I170" t="s">
        <v>102</v>
      </c>
      <c r="J170" t="s">
        <v>107</v>
      </c>
      <c r="R170">
        <v>34057</v>
      </c>
      <c r="S170" s="3">
        <v>42053</v>
      </c>
      <c r="T170">
        <v>21.957087157</v>
      </c>
      <c r="U170">
        <v>0.67410181397000002</v>
      </c>
      <c r="V170">
        <v>0.50580013399000001</v>
      </c>
      <c r="W170" t="s">
        <v>102</v>
      </c>
      <c r="X170" t="s">
        <v>107</v>
      </c>
    </row>
    <row r="171" spans="4:24" x14ac:dyDescent="0.25">
      <c r="D171">
        <v>34250</v>
      </c>
      <c r="E171" s="3">
        <v>42055</v>
      </c>
      <c r="F171">
        <v>18.230642392</v>
      </c>
      <c r="G171">
        <v>0.81467193363000001</v>
      </c>
      <c r="H171">
        <v>0.70133513215999999</v>
      </c>
      <c r="I171" t="s">
        <v>102</v>
      </c>
      <c r="J171" t="s">
        <v>108</v>
      </c>
      <c r="R171">
        <v>34058</v>
      </c>
      <c r="S171" s="3">
        <v>42053</v>
      </c>
      <c r="T171">
        <v>21.957087157</v>
      </c>
      <c r="U171">
        <v>0.67410181397000002</v>
      </c>
      <c r="V171">
        <v>0.50580013399000001</v>
      </c>
      <c r="W171" t="s">
        <v>102</v>
      </c>
      <c r="X171" t="s">
        <v>108</v>
      </c>
    </row>
    <row r="172" spans="4:24" x14ac:dyDescent="0.25">
      <c r="D172">
        <v>34251</v>
      </c>
      <c r="E172" s="3">
        <v>42055</v>
      </c>
      <c r="F172">
        <v>18.230642392</v>
      </c>
      <c r="G172">
        <v>0.81467193363000001</v>
      </c>
      <c r="H172">
        <v>0.70133513215999999</v>
      </c>
      <c r="I172" t="s">
        <v>109</v>
      </c>
      <c r="J172" t="s">
        <v>110</v>
      </c>
      <c r="R172">
        <v>34059</v>
      </c>
      <c r="S172" s="3">
        <v>42053</v>
      </c>
      <c r="T172">
        <v>21.957087157</v>
      </c>
      <c r="U172">
        <v>0.67410181397000002</v>
      </c>
      <c r="V172">
        <v>0.50580013399000001</v>
      </c>
      <c r="W172" t="s">
        <v>109</v>
      </c>
      <c r="X172" t="s">
        <v>110</v>
      </c>
    </row>
    <row r="173" spans="4:24" x14ac:dyDescent="0.25">
      <c r="D173">
        <v>34252</v>
      </c>
      <c r="E173" s="3">
        <v>42055</v>
      </c>
      <c r="F173">
        <v>18.230642392</v>
      </c>
      <c r="G173">
        <v>0.81467193363000001</v>
      </c>
      <c r="H173">
        <v>0.70133513215999999</v>
      </c>
      <c r="I173" t="s">
        <v>109</v>
      </c>
      <c r="J173" t="s">
        <v>111</v>
      </c>
      <c r="R173">
        <v>34060</v>
      </c>
      <c r="S173" s="3">
        <v>42053</v>
      </c>
      <c r="T173">
        <v>21.957087157</v>
      </c>
      <c r="U173">
        <v>0.67410181397000002</v>
      </c>
      <c r="V173">
        <v>0.50580013399000001</v>
      </c>
      <c r="W173" t="s">
        <v>109</v>
      </c>
      <c r="X173" t="s">
        <v>111</v>
      </c>
    </row>
    <row r="174" spans="4:24" x14ac:dyDescent="0.25">
      <c r="D174">
        <v>34253</v>
      </c>
      <c r="E174" s="3">
        <v>42055</v>
      </c>
      <c r="F174">
        <v>17.687343323</v>
      </c>
      <c r="G174">
        <v>0.82980508172</v>
      </c>
      <c r="H174">
        <v>0.61167642508999998</v>
      </c>
      <c r="I174" t="s">
        <v>109</v>
      </c>
      <c r="J174" t="s">
        <v>112</v>
      </c>
      <c r="R174">
        <v>34061</v>
      </c>
      <c r="S174" s="3">
        <v>42053</v>
      </c>
      <c r="T174">
        <v>20.176121384000002</v>
      </c>
      <c r="U174">
        <v>0.71811834605000002</v>
      </c>
      <c r="V174">
        <v>0.51159685296000001</v>
      </c>
      <c r="W174" t="s">
        <v>109</v>
      </c>
      <c r="X174" t="s">
        <v>112</v>
      </c>
    </row>
    <row r="175" spans="4:24" x14ac:dyDescent="0.25">
      <c r="D175">
        <v>34254</v>
      </c>
      <c r="E175" s="3">
        <v>42055</v>
      </c>
      <c r="F175">
        <v>17.687343323</v>
      </c>
      <c r="G175">
        <v>0.82980508172</v>
      </c>
      <c r="H175">
        <v>0.61167642508999998</v>
      </c>
      <c r="I175" t="s">
        <v>109</v>
      </c>
      <c r="J175" t="s">
        <v>113</v>
      </c>
      <c r="R175">
        <v>34062</v>
      </c>
      <c r="S175" s="3">
        <v>42053</v>
      </c>
      <c r="T175">
        <v>20.176121384000002</v>
      </c>
      <c r="U175">
        <v>0.71811834605000002</v>
      </c>
      <c r="V175">
        <v>0.51159685296000001</v>
      </c>
      <c r="W175" t="s">
        <v>109</v>
      </c>
      <c r="X175" t="s">
        <v>113</v>
      </c>
    </row>
    <row r="176" spans="4:24" x14ac:dyDescent="0.25">
      <c r="D176">
        <v>34255</v>
      </c>
      <c r="E176" s="3">
        <v>42055</v>
      </c>
      <c r="F176">
        <v>17.687343323</v>
      </c>
      <c r="G176">
        <v>0.82980508172</v>
      </c>
      <c r="H176">
        <v>0.61167642508999998</v>
      </c>
      <c r="I176" t="s">
        <v>109</v>
      </c>
      <c r="J176" t="s">
        <v>114</v>
      </c>
      <c r="R176">
        <v>34063</v>
      </c>
      <c r="S176" s="3">
        <v>42053</v>
      </c>
      <c r="T176">
        <v>20.176121384000002</v>
      </c>
      <c r="U176">
        <v>0.71811834605000002</v>
      </c>
      <c r="V176">
        <v>0.51159685296000001</v>
      </c>
      <c r="W176" t="s">
        <v>109</v>
      </c>
      <c r="X176" t="s">
        <v>114</v>
      </c>
    </row>
    <row r="177" spans="4:24" x14ac:dyDescent="0.25">
      <c r="D177">
        <v>34256</v>
      </c>
      <c r="E177" s="3">
        <v>42055</v>
      </c>
      <c r="F177">
        <v>17.687343323</v>
      </c>
      <c r="G177">
        <v>0.82980508172</v>
      </c>
      <c r="H177">
        <v>0.61167642508999998</v>
      </c>
      <c r="I177" t="s">
        <v>109</v>
      </c>
      <c r="J177" t="s">
        <v>115</v>
      </c>
      <c r="R177">
        <v>34064</v>
      </c>
      <c r="S177" s="3">
        <v>42053</v>
      </c>
      <c r="T177">
        <v>20.176121384000002</v>
      </c>
      <c r="U177">
        <v>0.71811834605000002</v>
      </c>
      <c r="V177">
        <v>0.51159685296000001</v>
      </c>
      <c r="W177" t="s">
        <v>109</v>
      </c>
      <c r="X177" t="s">
        <v>115</v>
      </c>
    </row>
    <row r="178" spans="4:24" x14ac:dyDescent="0.25">
      <c r="D178">
        <v>34257</v>
      </c>
      <c r="E178" s="3">
        <v>42055</v>
      </c>
      <c r="F178">
        <v>17.002981554000002</v>
      </c>
      <c r="G178">
        <v>0.83006561822000002</v>
      </c>
      <c r="H178">
        <v>0.56018161121999999</v>
      </c>
      <c r="I178" t="s">
        <v>109</v>
      </c>
      <c r="J178" t="s">
        <v>116</v>
      </c>
      <c r="R178">
        <v>34065</v>
      </c>
      <c r="S178" s="3">
        <v>42053</v>
      </c>
      <c r="T178">
        <v>18.336299317999998</v>
      </c>
      <c r="U178">
        <v>0.78334095023999994</v>
      </c>
      <c r="V178">
        <v>0.48157131436</v>
      </c>
      <c r="W178" t="s">
        <v>109</v>
      </c>
      <c r="X178" t="s">
        <v>116</v>
      </c>
    </row>
    <row r="179" spans="4:24" x14ac:dyDescent="0.25">
      <c r="D179">
        <v>34258</v>
      </c>
      <c r="E179" s="3">
        <v>42055</v>
      </c>
      <c r="F179">
        <v>17.002981554000002</v>
      </c>
      <c r="G179">
        <v>0.83006561822000002</v>
      </c>
      <c r="H179">
        <v>0.56018161121999999</v>
      </c>
      <c r="I179" t="s">
        <v>109</v>
      </c>
      <c r="J179" t="s">
        <v>117</v>
      </c>
      <c r="R179">
        <v>34066</v>
      </c>
      <c r="S179" s="3">
        <v>42053</v>
      </c>
      <c r="T179">
        <v>18.336299317999998</v>
      </c>
      <c r="U179">
        <v>0.78334095023999994</v>
      </c>
      <c r="V179">
        <v>0.48157131436</v>
      </c>
      <c r="W179" t="s">
        <v>109</v>
      </c>
      <c r="X179" t="s">
        <v>117</v>
      </c>
    </row>
    <row r="180" spans="4:24" x14ac:dyDescent="0.25">
      <c r="D180">
        <v>34259</v>
      </c>
      <c r="E180" s="3">
        <v>42055</v>
      </c>
      <c r="F180">
        <v>17.002981554000002</v>
      </c>
      <c r="G180">
        <v>0.83006561822000002</v>
      </c>
      <c r="H180">
        <v>0.56018161121999999</v>
      </c>
      <c r="I180" t="s">
        <v>109</v>
      </c>
      <c r="J180" t="s">
        <v>118</v>
      </c>
      <c r="R180">
        <v>34067</v>
      </c>
      <c r="S180" s="3">
        <v>42053</v>
      </c>
      <c r="T180">
        <v>18.336299317999998</v>
      </c>
      <c r="U180">
        <v>0.78334095023999994</v>
      </c>
      <c r="V180">
        <v>0.48157131436</v>
      </c>
      <c r="W180" t="s">
        <v>109</v>
      </c>
      <c r="X180" t="s">
        <v>118</v>
      </c>
    </row>
    <row r="181" spans="4:24" x14ac:dyDescent="0.25">
      <c r="D181">
        <v>34260</v>
      </c>
      <c r="E181" s="3">
        <v>42055</v>
      </c>
      <c r="F181">
        <v>17.002981554000002</v>
      </c>
      <c r="G181">
        <v>0.83006561822000002</v>
      </c>
      <c r="H181">
        <v>0.56018161121999999</v>
      </c>
      <c r="I181" t="s">
        <v>109</v>
      </c>
      <c r="J181" t="s">
        <v>119</v>
      </c>
      <c r="R181">
        <v>34068</v>
      </c>
      <c r="S181" s="3">
        <v>42053</v>
      </c>
      <c r="T181">
        <v>18.336299317999998</v>
      </c>
      <c r="U181">
        <v>0.78334095023999994</v>
      </c>
      <c r="V181">
        <v>0.48157131436</v>
      </c>
      <c r="W181" t="s">
        <v>109</v>
      </c>
      <c r="X181" t="s">
        <v>119</v>
      </c>
    </row>
    <row r="182" spans="4:24" x14ac:dyDescent="0.25">
      <c r="D182">
        <v>34261</v>
      </c>
      <c r="E182" s="3">
        <v>42055</v>
      </c>
      <c r="F182">
        <v>16.501249392999998</v>
      </c>
      <c r="G182">
        <v>0.82791700169000004</v>
      </c>
      <c r="H182">
        <v>0.24066966761</v>
      </c>
      <c r="I182" t="s">
        <v>109</v>
      </c>
      <c r="J182" t="s">
        <v>120</v>
      </c>
      <c r="R182">
        <v>34069</v>
      </c>
      <c r="S182" s="3">
        <v>42053</v>
      </c>
      <c r="T182">
        <v>18.136190136</v>
      </c>
      <c r="U182">
        <v>0.78454441639000005</v>
      </c>
      <c r="V182">
        <v>0.70621738004000001</v>
      </c>
      <c r="W182" t="s">
        <v>109</v>
      </c>
      <c r="X182" t="s">
        <v>120</v>
      </c>
    </row>
    <row r="183" spans="4:24" x14ac:dyDescent="0.25">
      <c r="D183">
        <v>34262</v>
      </c>
      <c r="E183" s="3">
        <v>42055</v>
      </c>
      <c r="F183">
        <v>16.501249392999998</v>
      </c>
      <c r="G183">
        <v>0.82791700169000004</v>
      </c>
      <c r="H183">
        <v>0.24066966761</v>
      </c>
      <c r="I183" t="s">
        <v>109</v>
      </c>
      <c r="J183" t="s">
        <v>121</v>
      </c>
      <c r="R183">
        <v>34070</v>
      </c>
      <c r="S183" s="3">
        <v>42053</v>
      </c>
      <c r="T183">
        <v>18.136190136</v>
      </c>
      <c r="U183">
        <v>0.78454441639000005</v>
      </c>
      <c r="V183">
        <v>0.70621738004000001</v>
      </c>
      <c r="W183" t="s">
        <v>109</v>
      </c>
      <c r="X183" t="s">
        <v>121</v>
      </c>
    </row>
    <row r="184" spans="4:24" x14ac:dyDescent="0.25">
      <c r="D184">
        <v>34263</v>
      </c>
      <c r="E184" s="3">
        <v>42055</v>
      </c>
      <c r="F184">
        <v>16.501249392999998</v>
      </c>
      <c r="G184">
        <v>0.82791700169000004</v>
      </c>
      <c r="H184">
        <v>0.24066966761</v>
      </c>
      <c r="I184" t="s">
        <v>122</v>
      </c>
      <c r="J184" t="s">
        <v>123</v>
      </c>
      <c r="R184">
        <v>34071</v>
      </c>
      <c r="S184" s="3">
        <v>42053</v>
      </c>
      <c r="T184">
        <v>18.136190136</v>
      </c>
      <c r="U184">
        <v>0.78454441639000005</v>
      </c>
      <c r="V184">
        <v>0.70621738004000001</v>
      </c>
      <c r="W184" t="s">
        <v>122</v>
      </c>
      <c r="X184" t="s">
        <v>123</v>
      </c>
    </row>
    <row r="185" spans="4:24" x14ac:dyDescent="0.25">
      <c r="D185">
        <v>34264</v>
      </c>
      <c r="E185" s="3">
        <v>42055</v>
      </c>
      <c r="F185">
        <v>16.501249392999998</v>
      </c>
      <c r="G185">
        <v>0.82791700169000004</v>
      </c>
      <c r="H185">
        <v>0.24066966761</v>
      </c>
      <c r="I185" t="s">
        <v>122</v>
      </c>
      <c r="J185" t="s">
        <v>124</v>
      </c>
      <c r="R185">
        <v>34072</v>
      </c>
      <c r="S185" s="3">
        <v>42053</v>
      </c>
      <c r="T185">
        <v>18.136190136</v>
      </c>
      <c r="U185">
        <v>0.78454441639000005</v>
      </c>
      <c r="V185">
        <v>0.70621738004000001</v>
      </c>
      <c r="W185" t="s">
        <v>122</v>
      </c>
      <c r="X185" t="s">
        <v>124</v>
      </c>
    </row>
    <row r="186" spans="4:24" x14ac:dyDescent="0.25">
      <c r="D186">
        <v>34265</v>
      </c>
      <c r="E186" s="3">
        <v>42055</v>
      </c>
      <c r="F186">
        <v>15.854927899</v>
      </c>
      <c r="G186">
        <v>0.82595410182999995</v>
      </c>
      <c r="H186">
        <v>0.25008647726</v>
      </c>
      <c r="I186" t="s">
        <v>122</v>
      </c>
      <c r="J186" t="s">
        <v>125</v>
      </c>
      <c r="R186">
        <v>34073</v>
      </c>
      <c r="S186" s="3">
        <v>42053</v>
      </c>
      <c r="T186">
        <v>16.541025731000001</v>
      </c>
      <c r="U186">
        <v>0.82070714622999996</v>
      </c>
      <c r="V186">
        <v>0.70442935298999998</v>
      </c>
      <c r="W186" t="s">
        <v>122</v>
      </c>
      <c r="X186" t="s">
        <v>125</v>
      </c>
    </row>
    <row r="187" spans="4:24" x14ac:dyDescent="0.25">
      <c r="D187">
        <v>34266</v>
      </c>
      <c r="E187" s="3">
        <v>42055</v>
      </c>
      <c r="F187">
        <v>15.854927899</v>
      </c>
      <c r="G187">
        <v>0.82595410182999995</v>
      </c>
      <c r="H187">
        <v>0.25008647726</v>
      </c>
      <c r="I187" t="s">
        <v>122</v>
      </c>
      <c r="J187" t="s">
        <v>126</v>
      </c>
      <c r="R187">
        <v>34074</v>
      </c>
      <c r="S187" s="3">
        <v>42053</v>
      </c>
      <c r="T187">
        <v>16.541025731000001</v>
      </c>
      <c r="U187">
        <v>0.82070714622999996</v>
      </c>
      <c r="V187">
        <v>0.70442935298999998</v>
      </c>
      <c r="W187" t="s">
        <v>122</v>
      </c>
      <c r="X187" t="s">
        <v>126</v>
      </c>
    </row>
    <row r="188" spans="4:24" x14ac:dyDescent="0.25">
      <c r="D188">
        <v>34267</v>
      </c>
      <c r="E188" s="3">
        <v>42055</v>
      </c>
      <c r="F188">
        <v>15.854927899</v>
      </c>
      <c r="G188">
        <v>0.82595410182999995</v>
      </c>
      <c r="H188">
        <v>0.25008647726</v>
      </c>
      <c r="I188" t="s">
        <v>122</v>
      </c>
      <c r="J188" t="s">
        <v>127</v>
      </c>
      <c r="R188">
        <v>34075</v>
      </c>
      <c r="S188" s="3">
        <v>42053</v>
      </c>
      <c r="T188">
        <v>16.541025731000001</v>
      </c>
      <c r="U188">
        <v>0.82070714622999996</v>
      </c>
      <c r="V188">
        <v>0.70442935298999998</v>
      </c>
      <c r="W188" t="s">
        <v>122</v>
      </c>
      <c r="X188" t="s">
        <v>127</v>
      </c>
    </row>
    <row r="189" spans="4:24" x14ac:dyDescent="0.25">
      <c r="D189">
        <v>34268</v>
      </c>
      <c r="E189" s="3">
        <v>42055</v>
      </c>
      <c r="F189">
        <v>15.854927899</v>
      </c>
      <c r="G189">
        <v>0.82595410182999995</v>
      </c>
      <c r="H189">
        <v>0.25008647726</v>
      </c>
      <c r="I189" t="s">
        <v>122</v>
      </c>
      <c r="J189" t="s">
        <v>128</v>
      </c>
      <c r="R189">
        <v>34076</v>
      </c>
      <c r="S189" s="3">
        <v>42053</v>
      </c>
      <c r="T189">
        <v>16.541025731000001</v>
      </c>
      <c r="U189">
        <v>0.82070714622999996</v>
      </c>
      <c r="V189">
        <v>0.70442935298999998</v>
      </c>
      <c r="W189" t="s">
        <v>122</v>
      </c>
      <c r="X189" t="s">
        <v>128</v>
      </c>
    </row>
    <row r="190" spans="4:24" x14ac:dyDescent="0.25">
      <c r="D190">
        <v>34269</v>
      </c>
      <c r="E190" s="3">
        <v>42055</v>
      </c>
      <c r="F190">
        <v>15.594326766</v>
      </c>
      <c r="G190">
        <v>0.80446458090999995</v>
      </c>
      <c r="H190">
        <v>0.28382659494000001</v>
      </c>
      <c r="I190" t="s">
        <v>122</v>
      </c>
      <c r="J190" t="s">
        <v>129</v>
      </c>
      <c r="R190">
        <v>34077</v>
      </c>
      <c r="S190" s="3">
        <v>42053</v>
      </c>
      <c r="T190">
        <v>15.214161664000001</v>
      </c>
      <c r="U190">
        <v>0.83046037824999996</v>
      </c>
      <c r="V190">
        <v>0.75979997554000001</v>
      </c>
      <c r="W190" t="s">
        <v>122</v>
      </c>
      <c r="X190" t="s">
        <v>129</v>
      </c>
    </row>
    <row r="191" spans="4:24" x14ac:dyDescent="0.25">
      <c r="D191">
        <v>34270</v>
      </c>
      <c r="E191" s="3">
        <v>42055</v>
      </c>
      <c r="F191">
        <v>15.594326766</v>
      </c>
      <c r="G191">
        <v>0.80446458090999995</v>
      </c>
      <c r="H191">
        <v>0.28382659494000001</v>
      </c>
      <c r="I191" t="s">
        <v>122</v>
      </c>
      <c r="J191" t="s">
        <v>130</v>
      </c>
      <c r="R191">
        <v>34078</v>
      </c>
      <c r="S191" s="3">
        <v>42053</v>
      </c>
      <c r="T191">
        <v>15.214161664000001</v>
      </c>
      <c r="U191">
        <v>0.83046037824999996</v>
      </c>
      <c r="V191">
        <v>0.75979997554000001</v>
      </c>
      <c r="W191" t="s">
        <v>122</v>
      </c>
      <c r="X191" t="s">
        <v>130</v>
      </c>
    </row>
    <row r="192" spans="4:24" x14ac:dyDescent="0.25">
      <c r="D192">
        <v>34271</v>
      </c>
      <c r="E192" s="3">
        <v>42055</v>
      </c>
      <c r="F192">
        <v>15.594326766</v>
      </c>
      <c r="G192">
        <v>0.80446458090999995</v>
      </c>
      <c r="H192">
        <v>0.28382659494000001</v>
      </c>
      <c r="I192" t="s">
        <v>122</v>
      </c>
      <c r="J192" t="s">
        <v>131</v>
      </c>
      <c r="R192">
        <v>34079</v>
      </c>
      <c r="S192" s="3">
        <v>42053</v>
      </c>
      <c r="T192">
        <v>15.214161664000001</v>
      </c>
      <c r="U192">
        <v>0.83046037824999996</v>
      </c>
      <c r="V192">
        <v>0.75979997554000001</v>
      </c>
      <c r="W192" t="s">
        <v>122</v>
      </c>
      <c r="X192" t="s">
        <v>131</v>
      </c>
    </row>
    <row r="193" spans="4:24" x14ac:dyDescent="0.25">
      <c r="D193">
        <v>34272</v>
      </c>
      <c r="E193" s="3">
        <v>42055</v>
      </c>
      <c r="F193">
        <v>15.594326766</v>
      </c>
      <c r="G193">
        <v>0.80446458090999995</v>
      </c>
      <c r="H193">
        <v>0.28382659494000001</v>
      </c>
      <c r="I193" t="s">
        <v>122</v>
      </c>
      <c r="J193" t="s">
        <v>132</v>
      </c>
      <c r="R193">
        <v>34080</v>
      </c>
      <c r="S193" s="3">
        <v>42053</v>
      </c>
      <c r="T193">
        <v>15.214161664000001</v>
      </c>
      <c r="U193">
        <v>0.83046037824999996</v>
      </c>
      <c r="V193">
        <v>0.75979997554000001</v>
      </c>
      <c r="W193" t="s">
        <v>122</v>
      </c>
      <c r="X193" t="s">
        <v>132</v>
      </c>
    </row>
    <row r="194" spans="4:24" x14ac:dyDescent="0.25">
      <c r="D194">
        <v>34369</v>
      </c>
      <c r="E194" s="3">
        <v>42057</v>
      </c>
      <c r="F194">
        <v>16.214161662999999</v>
      </c>
      <c r="G194">
        <v>0.88669793093000004</v>
      </c>
      <c r="H194">
        <v>0.15421226578</v>
      </c>
      <c r="I194" t="s">
        <v>25</v>
      </c>
      <c r="J194" t="s">
        <v>26</v>
      </c>
      <c r="R194">
        <v>34177</v>
      </c>
      <c r="S194" s="3">
        <v>42055</v>
      </c>
      <c r="T194">
        <v>16.666144959</v>
      </c>
      <c r="U194">
        <v>0.67852524269000003</v>
      </c>
      <c r="V194">
        <v>0.99806499326999998</v>
      </c>
      <c r="W194" t="s">
        <v>25</v>
      </c>
      <c r="X194" t="s">
        <v>26</v>
      </c>
    </row>
    <row r="195" spans="4:24" x14ac:dyDescent="0.25">
      <c r="D195">
        <v>34370</v>
      </c>
      <c r="E195" s="3">
        <v>42057</v>
      </c>
      <c r="F195">
        <v>16.214161662999999</v>
      </c>
      <c r="G195">
        <v>0.88669793093000004</v>
      </c>
      <c r="H195">
        <v>0.15421226578</v>
      </c>
      <c r="I195" t="s">
        <v>25</v>
      </c>
      <c r="J195" t="s">
        <v>27</v>
      </c>
      <c r="R195">
        <v>34178</v>
      </c>
      <c r="S195" s="3">
        <v>42055</v>
      </c>
      <c r="T195">
        <v>16.666144959</v>
      </c>
      <c r="U195">
        <v>0.67852524269000003</v>
      </c>
      <c r="V195">
        <v>0.99806499326999998</v>
      </c>
      <c r="W195" t="s">
        <v>25</v>
      </c>
      <c r="X195" t="s">
        <v>27</v>
      </c>
    </row>
    <row r="196" spans="4:24" x14ac:dyDescent="0.25">
      <c r="D196">
        <v>34371</v>
      </c>
      <c r="E196" s="3">
        <v>42057</v>
      </c>
      <c r="F196">
        <v>16.214161662999999</v>
      </c>
      <c r="G196">
        <v>0.88669793093000004</v>
      </c>
      <c r="H196">
        <v>0.15421226578</v>
      </c>
      <c r="I196" t="s">
        <v>25</v>
      </c>
      <c r="J196" t="s">
        <v>28</v>
      </c>
      <c r="R196">
        <v>34179</v>
      </c>
      <c r="S196" s="3">
        <v>42055</v>
      </c>
      <c r="T196">
        <v>16.666144959</v>
      </c>
      <c r="U196">
        <v>0.67852524269000003</v>
      </c>
      <c r="V196">
        <v>0.99806499326999998</v>
      </c>
      <c r="W196" t="s">
        <v>25</v>
      </c>
      <c r="X196" t="s">
        <v>28</v>
      </c>
    </row>
    <row r="197" spans="4:24" x14ac:dyDescent="0.25">
      <c r="D197">
        <v>34372</v>
      </c>
      <c r="E197" s="3">
        <v>42057</v>
      </c>
      <c r="F197">
        <v>16.214161662999999</v>
      </c>
      <c r="G197">
        <v>0.88669793093000004</v>
      </c>
      <c r="H197">
        <v>0.15421226578</v>
      </c>
      <c r="I197" t="s">
        <v>25</v>
      </c>
      <c r="J197" t="s">
        <v>29</v>
      </c>
      <c r="R197">
        <v>34180</v>
      </c>
      <c r="S197" s="3">
        <v>42055</v>
      </c>
      <c r="T197">
        <v>16.666144959</v>
      </c>
      <c r="U197">
        <v>0.67852524269000003</v>
      </c>
      <c r="V197">
        <v>0.99806499326999998</v>
      </c>
      <c r="W197" t="s">
        <v>25</v>
      </c>
      <c r="X197" t="s">
        <v>29</v>
      </c>
    </row>
    <row r="198" spans="4:24" x14ac:dyDescent="0.25">
      <c r="D198">
        <v>34373</v>
      </c>
      <c r="E198" s="3">
        <v>42057</v>
      </c>
      <c r="F198">
        <v>15.458819325</v>
      </c>
      <c r="G198">
        <v>0.89554264043999998</v>
      </c>
      <c r="H198">
        <v>0.11173926145</v>
      </c>
      <c r="I198" t="s">
        <v>25</v>
      </c>
      <c r="J198" t="s">
        <v>30</v>
      </c>
      <c r="R198">
        <v>34181</v>
      </c>
      <c r="S198" s="3">
        <v>42055</v>
      </c>
      <c r="T198">
        <v>16.576947596</v>
      </c>
      <c r="U198">
        <v>0.67435754588999997</v>
      </c>
      <c r="V198">
        <v>0.98839821968999997</v>
      </c>
      <c r="W198" t="s">
        <v>25</v>
      </c>
      <c r="X198" t="s">
        <v>30</v>
      </c>
    </row>
    <row r="199" spans="4:24" x14ac:dyDescent="0.25">
      <c r="D199">
        <v>34374</v>
      </c>
      <c r="E199" s="3">
        <v>42057</v>
      </c>
      <c r="F199">
        <v>15.458819325</v>
      </c>
      <c r="G199">
        <v>0.89554264043999998</v>
      </c>
      <c r="H199">
        <v>0.11173926145</v>
      </c>
      <c r="I199" t="s">
        <v>25</v>
      </c>
      <c r="J199" t="s">
        <v>31</v>
      </c>
      <c r="R199">
        <v>34182</v>
      </c>
      <c r="S199" s="3">
        <v>42055</v>
      </c>
      <c r="T199">
        <v>16.576947596</v>
      </c>
      <c r="U199">
        <v>0.67435754588999997</v>
      </c>
      <c r="V199">
        <v>0.98839821968999997</v>
      </c>
      <c r="W199" t="s">
        <v>25</v>
      </c>
      <c r="X199" t="s">
        <v>31</v>
      </c>
    </row>
    <row r="200" spans="4:24" x14ac:dyDescent="0.25">
      <c r="D200">
        <v>34375</v>
      </c>
      <c r="E200" s="3">
        <v>42057</v>
      </c>
      <c r="F200">
        <v>15.458819325</v>
      </c>
      <c r="G200">
        <v>0.89554264043999998</v>
      </c>
      <c r="H200">
        <v>0.11173926145</v>
      </c>
      <c r="I200" t="s">
        <v>25</v>
      </c>
      <c r="J200" t="s">
        <v>32</v>
      </c>
      <c r="R200">
        <v>34183</v>
      </c>
      <c r="S200" s="3">
        <v>42055</v>
      </c>
      <c r="T200">
        <v>16.576947596</v>
      </c>
      <c r="U200">
        <v>0.67435754588999997</v>
      </c>
      <c r="V200">
        <v>0.98839821968999997</v>
      </c>
      <c r="W200" t="s">
        <v>25</v>
      </c>
      <c r="X200" t="s">
        <v>32</v>
      </c>
    </row>
    <row r="201" spans="4:24" x14ac:dyDescent="0.25">
      <c r="D201">
        <v>34376</v>
      </c>
      <c r="E201" s="3">
        <v>42057</v>
      </c>
      <c r="F201">
        <v>15.458819325</v>
      </c>
      <c r="G201">
        <v>0.89554264043999998</v>
      </c>
      <c r="H201">
        <v>0.11173926145</v>
      </c>
      <c r="I201" t="s">
        <v>25</v>
      </c>
      <c r="J201" t="s">
        <v>33</v>
      </c>
      <c r="R201">
        <v>34184</v>
      </c>
      <c r="S201" s="3">
        <v>42055</v>
      </c>
      <c r="T201">
        <v>16.576947596</v>
      </c>
      <c r="U201">
        <v>0.67435754588999997</v>
      </c>
      <c r="V201">
        <v>0.98839821968999997</v>
      </c>
      <c r="W201" t="s">
        <v>25</v>
      </c>
      <c r="X201" t="s">
        <v>33</v>
      </c>
    </row>
    <row r="202" spans="4:24" x14ac:dyDescent="0.25">
      <c r="D202">
        <v>34377</v>
      </c>
      <c r="E202" s="3">
        <v>42057</v>
      </c>
      <c r="F202">
        <v>14.630223096</v>
      </c>
      <c r="G202">
        <v>0.91312587952000002</v>
      </c>
      <c r="H202">
        <v>8.7218052000000004E-2</v>
      </c>
      <c r="I202" t="s">
        <v>25</v>
      </c>
      <c r="J202" t="s">
        <v>34</v>
      </c>
      <c r="R202">
        <v>34185</v>
      </c>
      <c r="S202" s="3">
        <v>42055</v>
      </c>
      <c r="T202">
        <v>16.416769664</v>
      </c>
      <c r="U202">
        <v>0.67480403472999995</v>
      </c>
      <c r="V202">
        <v>0.98364005806999999</v>
      </c>
      <c r="W202" t="s">
        <v>25</v>
      </c>
      <c r="X202" t="s">
        <v>34</v>
      </c>
    </row>
    <row r="203" spans="4:24" x14ac:dyDescent="0.25">
      <c r="D203">
        <v>34378</v>
      </c>
      <c r="E203" s="3">
        <v>42057</v>
      </c>
      <c r="F203">
        <v>14.630223096</v>
      </c>
      <c r="G203">
        <v>0.91312587952000002</v>
      </c>
      <c r="H203">
        <v>8.7218052000000004E-2</v>
      </c>
      <c r="I203" t="s">
        <v>25</v>
      </c>
      <c r="J203" t="s">
        <v>35</v>
      </c>
      <c r="R203">
        <v>34186</v>
      </c>
      <c r="S203" s="3">
        <v>42055</v>
      </c>
      <c r="T203">
        <v>16.416769664</v>
      </c>
      <c r="U203">
        <v>0.67480403472999995</v>
      </c>
      <c r="V203">
        <v>0.98364005806999999</v>
      </c>
      <c r="W203" t="s">
        <v>25</v>
      </c>
      <c r="X203" t="s">
        <v>35</v>
      </c>
    </row>
    <row r="204" spans="4:24" x14ac:dyDescent="0.25">
      <c r="D204">
        <v>34379</v>
      </c>
      <c r="E204" s="3">
        <v>42057</v>
      </c>
      <c r="F204">
        <v>14.630223096</v>
      </c>
      <c r="G204">
        <v>0.91312587952000002</v>
      </c>
      <c r="H204">
        <v>8.7218052000000004E-2</v>
      </c>
      <c r="I204" t="s">
        <v>25</v>
      </c>
      <c r="J204" t="s">
        <v>36</v>
      </c>
      <c r="R204">
        <v>34187</v>
      </c>
      <c r="S204" s="3">
        <v>42055</v>
      </c>
      <c r="T204">
        <v>16.416769664</v>
      </c>
      <c r="U204">
        <v>0.67480403472999995</v>
      </c>
      <c r="V204">
        <v>0.98364005806999999</v>
      </c>
      <c r="W204" t="s">
        <v>25</v>
      </c>
      <c r="X204" t="s">
        <v>36</v>
      </c>
    </row>
    <row r="205" spans="4:24" x14ac:dyDescent="0.25">
      <c r="D205">
        <v>34380</v>
      </c>
      <c r="E205" s="3">
        <v>42057</v>
      </c>
      <c r="F205">
        <v>14.630223096</v>
      </c>
      <c r="G205">
        <v>0.91312587952000002</v>
      </c>
      <c r="H205">
        <v>8.7218052000000004E-2</v>
      </c>
      <c r="I205" t="s">
        <v>25</v>
      </c>
      <c r="J205" t="s">
        <v>37</v>
      </c>
      <c r="R205">
        <v>34188</v>
      </c>
      <c r="S205" s="3">
        <v>42055</v>
      </c>
      <c r="T205">
        <v>16.416769664</v>
      </c>
      <c r="U205">
        <v>0.67480403472999995</v>
      </c>
      <c r="V205">
        <v>0.98364005806999999</v>
      </c>
      <c r="W205" t="s">
        <v>25</v>
      </c>
      <c r="X205" t="s">
        <v>37</v>
      </c>
    </row>
    <row r="206" spans="4:24" x14ac:dyDescent="0.25">
      <c r="D206">
        <v>34381</v>
      </c>
      <c r="E206" s="3">
        <v>42057</v>
      </c>
      <c r="F206">
        <v>14.380847801</v>
      </c>
      <c r="G206">
        <v>0.91978024678000003</v>
      </c>
      <c r="H206">
        <v>9.483163218E-2</v>
      </c>
      <c r="I206" t="s">
        <v>25</v>
      </c>
      <c r="J206" t="s">
        <v>38</v>
      </c>
      <c r="R206">
        <v>34189</v>
      </c>
      <c r="S206" s="3">
        <v>42055</v>
      </c>
      <c r="T206">
        <v>16.305475498</v>
      </c>
      <c r="U206">
        <v>0.68388252011999995</v>
      </c>
      <c r="V206">
        <v>0.97888189645000001</v>
      </c>
      <c r="W206" t="s">
        <v>25</v>
      </c>
      <c r="X206" t="s">
        <v>38</v>
      </c>
    </row>
    <row r="207" spans="4:24" x14ac:dyDescent="0.25">
      <c r="D207">
        <v>34382</v>
      </c>
      <c r="E207" s="3">
        <v>42057</v>
      </c>
      <c r="F207">
        <v>14.380847801</v>
      </c>
      <c r="G207">
        <v>0.91978024678000003</v>
      </c>
      <c r="H207">
        <v>9.483163218E-2</v>
      </c>
      <c r="I207" t="s">
        <v>25</v>
      </c>
      <c r="J207" t="s">
        <v>39</v>
      </c>
      <c r="R207">
        <v>34190</v>
      </c>
      <c r="S207" s="3">
        <v>42055</v>
      </c>
      <c r="T207">
        <v>16.305475498</v>
      </c>
      <c r="U207">
        <v>0.68388252011999995</v>
      </c>
      <c r="V207">
        <v>0.97888189645000001</v>
      </c>
      <c r="W207" t="s">
        <v>25</v>
      </c>
      <c r="X207" t="s">
        <v>39</v>
      </c>
    </row>
    <row r="208" spans="4:24" x14ac:dyDescent="0.25">
      <c r="D208">
        <v>34383</v>
      </c>
      <c r="E208" s="3">
        <v>42057</v>
      </c>
      <c r="F208">
        <v>14.380847801</v>
      </c>
      <c r="G208">
        <v>0.91978024678000003</v>
      </c>
      <c r="H208">
        <v>9.483163218E-2</v>
      </c>
      <c r="I208" t="s">
        <v>25</v>
      </c>
      <c r="J208" t="s">
        <v>40</v>
      </c>
      <c r="R208">
        <v>34191</v>
      </c>
      <c r="S208" s="3">
        <v>42055</v>
      </c>
      <c r="T208">
        <v>16.305475498</v>
      </c>
      <c r="U208">
        <v>0.68388252011999995</v>
      </c>
      <c r="V208">
        <v>0.97888189645000001</v>
      </c>
      <c r="W208" t="s">
        <v>25</v>
      </c>
      <c r="X208" t="s">
        <v>40</v>
      </c>
    </row>
    <row r="209" spans="4:24" x14ac:dyDescent="0.25">
      <c r="D209">
        <v>34384</v>
      </c>
      <c r="E209" s="3">
        <v>42057</v>
      </c>
      <c r="F209">
        <v>14.380847801</v>
      </c>
      <c r="G209">
        <v>0.91978024678000003</v>
      </c>
      <c r="H209">
        <v>9.483163218E-2</v>
      </c>
      <c r="I209" t="s">
        <v>25</v>
      </c>
      <c r="J209" t="s">
        <v>41</v>
      </c>
      <c r="R209">
        <v>34192</v>
      </c>
      <c r="S209" s="3">
        <v>42055</v>
      </c>
      <c r="T209">
        <v>16.305475498</v>
      </c>
      <c r="U209">
        <v>0.68388252011999995</v>
      </c>
      <c r="V209">
        <v>0.97888189645000001</v>
      </c>
      <c r="W209" t="s">
        <v>25</v>
      </c>
      <c r="X209" t="s">
        <v>41</v>
      </c>
    </row>
    <row r="210" spans="4:24" x14ac:dyDescent="0.25">
      <c r="D210">
        <v>34385</v>
      </c>
      <c r="E210" s="3">
        <v>42057</v>
      </c>
      <c r="F210">
        <v>14.015943458000001</v>
      </c>
      <c r="G210">
        <v>0.92803449146999994</v>
      </c>
      <c r="H210">
        <v>8.1550011049999996E-2</v>
      </c>
      <c r="I210" t="s">
        <v>42</v>
      </c>
      <c r="J210" t="s">
        <v>43</v>
      </c>
      <c r="R210">
        <v>34193</v>
      </c>
      <c r="S210" s="3">
        <v>42055</v>
      </c>
      <c r="T210">
        <v>15.903811664999999</v>
      </c>
      <c r="U210">
        <v>0.68122550898000001</v>
      </c>
      <c r="V210">
        <v>0.97342291351999999</v>
      </c>
      <c r="W210" t="s">
        <v>42</v>
      </c>
      <c r="X210" t="s">
        <v>43</v>
      </c>
    </row>
    <row r="211" spans="4:24" x14ac:dyDescent="0.25">
      <c r="D211">
        <v>34386</v>
      </c>
      <c r="E211" s="3">
        <v>42057</v>
      </c>
      <c r="F211">
        <v>14.015943458000001</v>
      </c>
      <c r="G211">
        <v>0.92803449146999994</v>
      </c>
      <c r="H211">
        <v>8.1550011049999996E-2</v>
      </c>
      <c r="I211" t="s">
        <v>42</v>
      </c>
      <c r="J211" t="s">
        <v>44</v>
      </c>
      <c r="R211">
        <v>34194</v>
      </c>
      <c r="S211" s="3">
        <v>42055</v>
      </c>
      <c r="T211">
        <v>15.903811664999999</v>
      </c>
      <c r="U211">
        <v>0.68122550898000001</v>
      </c>
      <c r="V211">
        <v>0.97342291351999999</v>
      </c>
      <c r="W211" t="s">
        <v>42</v>
      </c>
      <c r="X211" t="s">
        <v>44</v>
      </c>
    </row>
    <row r="212" spans="4:24" x14ac:dyDescent="0.25">
      <c r="D212">
        <v>34387</v>
      </c>
      <c r="E212" s="3">
        <v>42057</v>
      </c>
      <c r="F212">
        <v>14.015943458000001</v>
      </c>
      <c r="G212">
        <v>0.92803449146999994</v>
      </c>
      <c r="H212">
        <v>8.1550011049999996E-2</v>
      </c>
      <c r="I212" t="s">
        <v>42</v>
      </c>
      <c r="J212" t="s">
        <v>45</v>
      </c>
      <c r="R212">
        <v>34195</v>
      </c>
      <c r="S212" s="3">
        <v>42055</v>
      </c>
      <c r="T212">
        <v>15.903811664999999</v>
      </c>
      <c r="U212">
        <v>0.68122550898000001</v>
      </c>
      <c r="V212">
        <v>0.97342291351999999</v>
      </c>
      <c r="W212" t="s">
        <v>42</v>
      </c>
      <c r="X212" t="s">
        <v>45</v>
      </c>
    </row>
    <row r="213" spans="4:24" x14ac:dyDescent="0.25">
      <c r="D213">
        <v>34388</v>
      </c>
      <c r="E213" s="3">
        <v>42057</v>
      </c>
      <c r="F213">
        <v>14.015943458000001</v>
      </c>
      <c r="G213">
        <v>0.92803449146999994</v>
      </c>
      <c r="H213">
        <v>8.1550011049999996E-2</v>
      </c>
      <c r="I213" t="s">
        <v>42</v>
      </c>
      <c r="J213" t="s">
        <v>46</v>
      </c>
      <c r="R213">
        <v>34196</v>
      </c>
      <c r="S213" s="3">
        <v>42055</v>
      </c>
      <c r="T213">
        <v>15.903811664999999</v>
      </c>
      <c r="U213">
        <v>0.68122550898000001</v>
      </c>
      <c r="V213">
        <v>0.97342291351999999</v>
      </c>
      <c r="W213" t="s">
        <v>42</v>
      </c>
      <c r="X213" t="s">
        <v>46</v>
      </c>
    </row>
    <row r="214" spans="4:24" x14ac:dyDescent="0.25">
      <c r="D214">
        <v>34389</v>
      </c>
      <c r="E214" s="3">
        <v>42057</v>
      </c>
      <c r="F214">
        <v>13.614279625</v>
      </c>
      <c r="G214">
        <v>0.93382670080999997</v>
      </c>
      <c r="H214">
        <v>7.4744585320000001E-2</v>
      </c>
      <c r="I214" t="s">
        <v>42</v>
      </c>
      <c r="J214" t="s">
        <v>47</v>
      </c>
      <c r="R214">
        <v>34197</v>
      </c>
      <c r="S214" s="3">
        <v>42055</v>
      </c>
      <c r="T214">
        <v>15.104303195</v>
      </c>
      <c r="U214">
        <v>0.69675018206999995</v>
      </c>
      <c r="V214">
        <v>0.96866475190000001</v>
      </c>
      <c r="W214" t="s">
        <v>42</v>
      </c>
      <c r="X214" t="s">
        <v>47</v>
      </c>
    </row>
    <row r="215" spans="4:24" x14ac:dyDescent="0.25">
      <c r="D215">
        <v>34390</v>
      </c>
      <c r="E215" s="3">
        <v>42057</v>
      </c>
      <c r="F215">
        <v>13.614279625</v>
      </c>
      <c r="G215">
        <v>0.93382670080999997</v>
      </c>
      <c r="H215">
        <v>7.4744585320000001E-2</v>
      </c>
      <c r="I215" t="s">
        <v>42</v>
      </c>
      <c r="J215" t="s">
        <v>49</v>
      </c>
      <c r="R215">
        <v>34198</v>
      </c>
      <c r="S215" s="3">
        <v>42055</v>
      </c>
      <c r="T215">
        <v>15.104303195</v>
      </c>
      <c r="U215">
        <v>0.69675018206999995</v>
      </c>
      <c r="V215">
        <v>0.96866475190000001</v>
      </c>
      <c r="W215" t="s">
        <v>42</v>
      </c>
      <c r="X215" t="s">
        <v>49</v>
      </c>
    </row>
    <row r="216" spans="4:24" x14ac:dyDescent="0.25">
      <c r="D216">
        <v>34391</v>
      </c>
      <c r="E216" s="3">
        <v>42057</v>
      </c>
      <c r="F216">
        <v>13.614279625</v>
      </c>
      <c r="G216">
        <v>0.93382670080999997</v>
      </c>
      <c r="H216">
        <v>7.4744585320000001E-2</v>
      </c>
      <c r="I216" t="s">
        <v>42</v>
      </c>
      <c r="J216" t="s">
        <v>50</v>
      </c>
      <c r="R216">
        <v>34199</v>
      </c>
      <c r="S216" s="3">
        <v>42055</v>
      </c>
      <c r="T216">
        <v>15.104303195</v>
      </c>
      <c r="U216">
        <v>0.69675018206999995</v>
      </c>
      <c r="V216">
        <v>0.96866475190000001</v>
      </c>
      <c r="W216" t="s">
        <v>42</v>
      </c>
      <c r="X216" t="s">
        <v>50</v>
      </c>
    </row>
    <row r="217" spans="4:24" x14ac:dyDescent="0.25">
      <c r="D217">
        <v>34392</v>
      </c>
      <c r="E217" s="3">
        <v>42057</v>
      </c>
      <c r="F217">
        <v>13.614279625</v>
      </c>
      <c r="G217">
        <v>0.93382670080999997</v>
      </c>
      <c r="H217">
        <v>7.4744585320000001E-2</v>
      </c>
      <c r="I217" t="s">
        <v>42</v>
      </c>
      <c r="J217" t="s">
        <v>51</v>
      </c>
      <c r="R217">
        <v>34200</v>
      </c>
      <c r="S217" s="3">
        <v>42055</v>
      </c>
      <c r="T217">
        <v>15.104303195</v>
      </c>
      <c r="U217">
        <v>0.69675018206999995</v>
      </c>
      <c r="V217">
        <v>0.96866475190000001</v>
      </c>
      <c r="W217" t="s">
        <v>42</v>
      </c>
      <c r="X217" t="s">
        <v>51</v>
      </c>
    </row>
    <row r="218" spans="4:24" x14ac:dyDescent="0.25">
      <c r="D218">
        <v>34393</v>
      </c>
      <c r="E218" s="3">
        <v>42057</v>
      </c>
      <c r="F218">
        <v>13.614279625</v>
      </c>
      <c r="G218">
        <v>0.92643271215</v>
      </c>
      <c r="H218">
        <v>7.2462270950000005E-2</v>
      </c>
      <c r="I218" t="s">
        <v>52</v>
      </c>
      <c r="J218" t="s">
        <v>53</v>
      </c>
      <c r="R218">
        <v>34201</v>
      </c>
      <c r="S218" s="3">
        <v>42055</v>
      </c>
      <c r="T218">
        <v>14.999999985000001</v>
      </c>
      <c r="U218">
        <v>0.71525744577000006</v>
      </c>
      <c r="V218">
        <v>0.96494962238000004</v>
      </c>
      <c r="W218" t="s">
        <v>52</v>
      </c>
      <c r="X218" t="s">
        <v>53</v>
      </c>
    </row>
    <row r="219" spans="4:24" x14ac:dyDescent="0.25">
      <c r="D219">
        <v>34394</v>
      </c>
      <c r="E219" s="3">
        <v>42057</v>
      </c>
      <c r="F219">
        <v>13.614279625</v>
      </c>
      <c r="G219">
        <v>0.92643271215</v>
      </c>
      <c r="H219">
        <v>7.2462270950000005E-2</v>
      </c>
      <c r="I219" t="s">
        <v>52</v>
      </c>
      <c r="J219" t="s">
        <v>54</v>
      </c>
      <c r="R219">
        <v>34202</v>
      </c>
      <c r="S219" s="3">
        <v>42055</v>
      </c>
      <c r="T219">
        <v>14.999999985000001</v>
      </c>
      <c r="U219">
        <v>0.71525744577000006</v>
      </c>
      <c r="V219">
        <v>0.96494962238000004</v>
      </c>
      <c r="W219" t="s">
        <v>52</v>
      </c>
      <c r="X219" t="s">
        <v>54</v>
      </c>
    </row>
    <row r="220" spans="4:24" x14ac:dyDescent="0.25">
      <c r="D220">
        <v>34395</v>
      </c>
      <c r="E220" s="3">
        <v>42057</v>
      </c>
      <c r="F220">
        <v>13.614279625</v>
      </c>
      <c r="G220">
        <v>0.92643271215</v>
      </c>
      <c r="H220">
        <v>7.2462270950000005E-2</v>
      </c>
      <c r="I220" t="s">
        <v>52</v>
      </c>
      <c r="J220" t="s">
        <v>55</v>
      </c>
      <c r="R220">
        <v>34203</v>
      </c>
      <c r="S220" s="3">
        <v>42055</v>
      </c>
      <c r="T220">
        <v>14.999999985000001</v>
      </c>
      <c r="U220">
        <v>0.71525744577000006</v>
      </c>
      <c r="V220">
        <v>0.96494962238000004</v>
      </c>
      <c r="W220" t="s">
        <v>52</v>
      </c>
      <c r="X220" t="s">
        <v>55</v>
      </c>
    </row>
    <row r="221" spans="4:24" x14ac:dyDescent="0.25">
      <c r="D221">
        <v>34396</v>
      </c>
      <c r="E221" s="3">
        <v>42057</v>
      </c>
      <c r="F221">
        <v>13.614279625</v>
      </c>
      <c r="G221">
        <v>0.92643271215</v>
      </c>
      <c r="H221">
        <v>7.2462270950000005E-2</v>
      </c>
      <c r="I221" t="s">
        <v>52</v>
      </c>
      <c r="J221" t="s">
        <v>56</v>
      </c>
      <c r="R221">
        <v>34204</v>
      </c>
      <c r="S221" s="3">
        <v>42055</v>
      </c>
      <c r="T221">
        <v>14.999999985000001</v>
      </c>
      <c r="U221">
        <v>0.71525744577000006</v>
      </c>
      <c r="V221">
        <v>0.96494962238000004</v>
      </c>
      <c r="W221" t="s">
        <v>52</v>
      </c>
      <c r="X221" t="s">
        <v>56</v>
      </c>
    </row>
    <row r="222" spans="4:24" x14ac:dyDescent="0.25">
      <c r="D222">
        <v>34397</v>
      </c>
      <c r="E222" s="3">
        <v>42057</v>
      </c>
      <c r="F222">
        <v>13.625505463</v>
      </c>
      <c r="G222">
        <v>0.89966798841999995</v>
      </c>
      <c r="H222">
        <v>7.388610172E-2</v>
      </c>
      <c r="I222" t="s">
        <v>52</v>
      </c>
      <c r="J222" t="s">
        <v>57</v>
      </c>
      <c r="R222">
        <v>34205</v>
      </c>
      <c r="S222" s="3">
        <v>42055</v>
      </c>
      <c r="T222">
        <v>14.117802356</v>
      </c>
      <c r="U222">
        <v>0.76827166815000003</v>
      </c>
      <c r="V222">
        <v>0.96025915903000003</v>
      </c>
      <c r="W222" t="s">
        <v>52</v>
      </c>
      <c r="X222" t="s">
        <v>57</v>
      </c>
    </row>
    <row r="223" spans="4:24" x14ac:dyDescent="0.25">
      <c r="D223">
        <v>34398</v>
      </c>
      <c r="E223" s="3">
        <v>42057</v>
      </c>
      <c r="F223">
        <v>13.625505463</v>
      </c>
      <c r="G223">
        <v>0.89966798841999995</v>
      </c>
      <c r="H223">
        <v>7.388610172E-2</v>
      </c>
      <c r="I223" t="s">
        <v>52</v>
      </c>
      <c r="J223" t="s">
        <v>58</v>
      </c>
      <c r="R223">
        <v>34206</v>
      </c>
      <c r="S223" s="3">
        <v>42055</v>
      </c>
      <c r="T223">
        <v>14.117802356</v>
      </c>
      <c r="U223">
        <v>0.76827166815000003</v>
      </c>
      <c r="V223">
        <v>0.96025915903000003</v>
      </c>
      <c r="W223" t="s">
        <v>52</v>
      </c>
      <c r="X223" t="s">
        <v>58</v>
      </c>
    </row>
    <row r="224" spans="4:24" x14ac:dyDescent="0.25">
      <c r="D224">
        <v>34399</v>
      </c>
      <c r="E224" s="3">
        <v>42057</v>
      </c>
      <c r="F224">
        <v>13.625505463</v>
      </c>
      <c r="G224">
        <v>0.89966798841999995</v>
      </c>
      <c r="H224">
        <v>7.388610172E-2</v>
      </c>
      <c r="I224" t="s">
        <v>52</v>
      </c>
      <c r="J224" t="s">
        <v>59</v>
      </c>
      <c r="R224">
        <v>34207</v>
      </c>
      <c r="S224" s="3">
        <v>42055</v>
      </c>
      <c r="T224">
        <v>14.117802356</v>
      </c>
      <c r="U224">
        <v>0.76827166815000003</v>
      </c>
      <c r="V224">
        <v>0.96025915903000003</v>
      </c>
      <c r="W224" t="s">
        <v>52</v>
      </c>
      <c r="X224" t="s">
        <v>59</v>
      </c>
    </row>
    <row r="225" spans="4:24" x14ac:dyDescent="0.25">
      <c r="D225">
        <v>34400</v>
      </c>
      <c r="E225" s="3">
        <v>42057</v>
      </c>
      <c r="F225">
        <v>13.625505463</v>
      </c>
      <c r="G225">
        <v>0.89966798841999995</v>
      </c>
      <c r="H225">
        <v>7.388610172E-2</v>
      </c>
      <c r="I225" t="s">
        <v>52</v>
      </c>
      <c r="J225" t="s">
        <v>60</v>
      </c>
      <c r="R225">
        <v>34208</v>
      </c>
      <c r="S225" s="3">
        <v>42055</v>
      </c>
      <c r="T225">
        <v>14.117802356</v>
      </c>
      <c r="U225">
        <v>0.76827166815000003</v>
      </c>
      <c r="V225">
        <v>0.96025915903000003</v>
      </c>
      <c r="W225" t="s">
        <v>52</v>
      </c>
      <c r="X225" t="s">
        <v>60</v>
      </c>
    </row>
    <row r="226" spans="4:24" x14ac:dyDescent="0.25">
      <c r="D226">
        <v>34401</v>
      </c>
      <c r="E226" s="3">
        <v>42057</v>
      </c>
      <c r="F226">
        <v>14.908203397999999</v>
      </c>
      <c r="G226">
        <v>0.85696225185999997</v>
      </c>
      <c r="H226">
        <v>6.9954831689999997E-2</v>
      </c>
      <c r="I226" t="s">
        <v>61</v>
      </c>
      <c r="J226" t="s">
        <v>62</v>
      </c>
      <c r="R226">
        <v>34209</v>
      </c>
      <c r="S226" s="3">
        <v>42055</v>
      </c>
      <c r="T226">
        <v>15.033322626</v>
      </c>
      <c r="U226">
        <v>0.76358496520999997</v>
      </c>
      <c r="V226">
        <v>0.95178394630999996</v>
      </c>
      <c r="W226" t="s">
        <v>61</v>
      </c>
      <c r="X226" t="s">
        <v>62</v>
      </c>
    </row>
    <row r="227" spans="4:24" x14ac:dyDescent="0.25">
      <c r="D227">
        <v>34402</v>
      </c>
      <c r="E227" s="3">
        <v>42057</v>
      </c>
      <c r="F227">
        <v>14.908203397999999</v>
      </c>
      <c r="G227">
        <v>0.85696225185999997</v>
      </c>
      <c r="H227">
        <v>6.9954831689999997E-2</v>
      </c>
      <c r="I227" t="s">
        <v>61</v>
      </c>
      <c r="J227" t="s">
        <v>63</v>
      </c>
      <c r="R227">
        <v>34210</v>
      </c>
      <c r="S227" s="3">
        <v>42055</v>
      </c>
      <c r="T227">
        <v>15.033322626</v>
      </c>
      <c r="U227">
        <v>0.76358496520999997</v>
      </c>
      <c r="V227">
        <v>0.95178394630999996</v>
      </c>
      <c r="W227" t="s">
        <v>61</v>
      </c>
      <c r="X227" t="s">
        <v>63</v>
      </c>
    </row>
    <row r="228" spans="4:24" x14ac:dyDescent="0.25">
      <c r="D228">
        <v>34403</v>
      </c>
      <c r="E228" s="3">
        <v>42057</v>
      </c>
      <c r="F228">
        <v>14.908203397999999</v>
      </c>
      <c r="G228">
        <v>0.85696225185999997</v>
      </c>
      <c r="H228">
        <v>6.9954831689999997E-2</v>
      </c>
      <c r="I228" t="s">
        <v>61</v>
      </c>
      <c r="J228" t="s">
        <v>64</v>
      </c>
      <c r="R228">
        <v>34211</v>
      </c>
      <c r="S228" s="3">
        <v>42055</v>
      </c>
      <c r="T228">
        <v>15.033322626</v>
      </c>
      <c r="U228">
        <v>0.76358496520999997</v>
      </c>
      <c r="V228">
        <v>0.95178394630999996</v>
      </c>
      <c r="W228" t="s">
        <v>61</v>
      </c>
      <c r="X228" t="s">
        <v>64</v>
      </c>
    </row>
    <row r="229" spans="4:24" x14ac:dyDescent="0.25">
      <c r="D229">
        <v>34404</v>
      </c>
      <c r="E229" s="3">
        <v>42057</v>
      </c>
      <c r="F229">
        <v>14.908203397999999</v>
      </c>
      <c r="G229">
        <v>0.85696225185999997</v>
      </c>
      <c r="H229">
        <v>6.9954831689999997E-2</v>
      </c>
      <c r="I229" t="s">
        <v>61</v>
      </c>
      <c r="J229" t="s">
        <v>65</v>
      </c>
      <c r="R229">
        <v>34212</v>
      </c>
      <c r="S229" s="3">
        <v>42055</v>
      </c>
      <c r="T229">
        <v>15.033322626</v>
      </c>
      <c r="U229">
        <v>0.76358496520999997</v>
      </c>
      <c r="V229">
        <v>0.95178394630999996</v>
      </c>
      <c r="W229" t="s">
        <v>61</v>
      </c>
      <c r="X229" t="s">
        <v>65</v>
      </c>
    </row>
    <row r="230" spans="4:24" x14ac:dyDescent="0.25">
      <c r="D230">
        <v>34405</v>
      </c>
      <c r="E230" s="3">
        <v>42057</v>
      </c>
      <c r="F230">
        <v>17.298641391</v>
      </c>
      <c r="G230">
        <v>0.79313104055000005</v>
      </c>
      <c r="H230">
        <v>6.590647576E-2</v>
      </c>
      <c r="I230" t="s">
        <v>66</v>
      </c>
      <c r="J230" t="s">
        <v>67</v>
      </c>
      <c r="R230">
        <v>34213</v>
      </c>
      <c r="S230" s="3">
        <v>42055</v>
      </c>
      <c r="T230">
        <v>16.044548463000002</v>
      </c>
      <c r="U230">
        <v>0.74774085823000003</v>
      </c>
      <c r="V230">
        <v>0.95014397503000003</v>
      </c>
      <c r="W230" t="s">
        <v>66</v>
      </c>
      <c r="X230" t="s">
        <v>67</v>
      </c>
    </row>
    <row r="231" spans="4:24" x14ac:dyDescent="0.25">
      <c r="D231">
        <v>34406</v>
      </c>
      <c r="E231" s="3">
        <v>42057</v>
      </c>
      <c r="F231">
        <v>17.298641391</v>
      </c>
      <c r="G231">
        <v>0.79313104055000005</v>
      </c>
      <c r="H231">
        <v>6.590647576E-2</v>
      </c>
      <c r="I231" t="s">
        <v>66</v>
      </c>
      <c r="J231" t="s">
        <v>68</v>
      </c>
      <c r="R231">
        <v>34214</v>
      </c>
      <c r="S231" s="3">
        <v>42055</v>
      </c>
      <c r="T231">
        <v>16.044548463000002</v>
      </c>
      <c r="U231">
        <v>0.74774085823000003</v>
      </c>
      <c r="V231">
        <v>0.95014397503000003</v>
      </c>
      <c r="W231" t="s">
        <v>66</v>
      </c>
      <c r="X231" t="s">
        <v>68</v>
      </c>
    </row>
    <row r="232" spans="4:24" x14ac:dyDescent="0.25">
      <c r="D232">
        <v>34407</v>
      </c>
      <c r="E232" s="3">
        <v>42057</v>
      </c>
      <c r="F232">
        <v>17.298641391</v>
      </c>
      <c r="G232">
        <v>0.79313104055000005</v>
      </c>
      <c r="H232">
        <v>6.590647576E-2</v>
      </c>
      <c r="I232" t="s">
        <v>66</v>
      </c>
      <c r="J232" t="s">
        <v>69</v>
      </c>
      <c r="R232">
        <v>34215</v>
      </c>
      <c r="S232" s="3">
        <v>42055</v>
      </c>
      <c r="T232">
        <v>16.044548463000002</v>
      </c>
      <c r="U232">
        <v>0.74774085823000003</v>
      </c>
      <c r="V232">
        <v>0.95014397503000003</v>
      </c>
      <c r="W232" t="s">
        <v>66</v>
      </c>
      <c r="X232" t="s">
        <v>69</v>
      </c>
    </row>
    <row r="233" spans="4:24" x14ac:dyDescent="0.25">
      <c r="D233">
        <v>34408</v>
      </c>
      <c r="E233" s="3">
        <v>42057</v>
      </c>
      <c r="F233">
        <v>17.298641391</v>
      </c>
      <c r="G233">
        <v>0.79313104055000005</v>
      </c>
      <c r="H233">
        <v>6.590647576E-2</v>
      </c>
      <c r="I233" t="s">
        <v>66</v>
      </c>
      <c r="J233" t="s">
        <v>70</v>
      </c>
      <c r="R233">
        <v>34216</v>
      </c>
      <c r="S233" s="3">
        <v>42055</v>
      </c>
      <c r="T233">
        <v>16.044548463000002</v>
      </c>
      <c r="U233">
        <v>0.74774085823000003</v>
      </c>
      <c r="V233">
        <v>0.95014397503000003</v>
      </c>
      <c r="W233" t="s">
        <v>66</v>
      </c>
      <c r="X233" t="s">
        <v>70</v>
      </c>
    </row>
    <row r="234" spans="4:24" x14ac:dyDescent="0.25">
      <c r="D234">
        <v>34409</v>
      </c>
      <c r="E234" s="3">
        <v>42057</v>
      </c>
      <c r="F234">
        <v>19.105140815999999</v>
      </c>
      <c r="G234">
        <v>0.72101769041999997</v>
      </c>
      <c r="H234">
        <v>6.0997863800000003E-2</v>
      </c>
      <c r="I234" t="s">
        <v>71</v>
      </c>
      <c r="J234" t="s">
        <v>72</v>
      </c>
      <c r="R234">
        <v>34217</v>
      </c>
      <c r="S234" s="3">
        <v>42055</v>
      </c>
      <c r="T234">
        <v>17.133745824999998</v>
      </c>
      <c r="U234">
        <v>0.70968578937000004</v>
      </c>
      <c r="V234">
        <v>0.94694940077</v>
      </c>
      <c r="W234" t="s">
        <v>71</v>
      </c>
      <c r="X234" t="s">
        <v>72</v>
      </c>
    </row>
    <row r="235" spans="4:24" x14ac:dyDescent="0.25">
      <c r="D235">
        <v>34410</v>
      </c>
      <c r="E235" s="3">
        <v>42057</v>
      </c>
      <c r="F235">
        <v>19.105140815999999</v>
      </c>
      <c r="G235">
        <v>0.72101769041999997</v>
      </c>
      <c r="H235">
        <v>6.0997863800000003E-2</v>
      </c>
      <c r="I235" t="s">
        <v>71</v>
      </c>
      <c r="J235" t="s">
        <v>73</v>
      </c>
      <c r="R235">
        <v>34218</v>
      </c>
      <c r="S235" s="3">
        <v>42055</v>
      </c>
      <c r="T235">
        <v>17.133745824999998</v>
      </c>
      <c r="U235">
        <v>0.70968578937000004</v>
      </c>
      <c r="V235">
        <v>0.94694940077</v>
      </c>
      <c r="W235" t="s">
        <v>71</v>
      </c>
      <c r="X235" t="s">
        <v>73</v>
      </c>
    </row>
    <row r="236" spans="4:24" x14ac:dyDescent="0.25">
      <c r="D236">
        <v>34411</v>
      </c>
      <c r="E236" s="3">
        <v>42057</v>
      </c>
      <c r="F236">
        <v>19.105140815999999</v>
      </c>
      <c r="G236">
        <v>0.72101769041999997</v>
      </c>
      <c r="H236">
        <v>6.0997863800000003E-2</v>
      </c>
      <c r="I236" t="s">
        <v>71</v>
      </c>
      <c r="J236" t="s">
        <v>74</v>
      </c>
      <c r="R236">
        <v>34219</v>
      </c>
      <c r="S236" s="3">
        <v>42055</v>
      </c>
      <c r="T236">
        <v>17.133745824999998</v>
      </c>
      <c r="U236">
        <v>0.70968578937000004</v>
      </c>
      <c r="V236">
        <v>0.94694940077</v>
      </c>
      <c r="W236" t="s">
        <v>71</v>
      </c>
      <c r="X236" t="s">
        <v>74</v>
      </c>
    </row>
    <row r="237" spans="4:24" x14ac:dyDescent="0.25">
      <c r="D237">
        <v>34412</v>
      </c>
      <c r="E237" s="3">
        <v>42057</v>
      </c>
      <c r="F237">
        <v>19.105140815999999</v>
      </c>
      <c r="G237">
        <v>0.72101769041999997</v>
      </c>
      <c r="H237">
        <v>6.0997863800000003E-2</v>
      </c>
      <c r="I237" t="s">
        <v>71</v>
      </c>
      <c r="J237" t="s">
        <v>75</v>
      </c>
      <c r="R237">
        <v>34220</v>
      </c>
      <c r="S237" s="3">
        <v>42055</v>
      </c>
      <c r="T237">
        <v>17.133745824999998</v>
      </c>
      <c r="U237">
        <v>0.70968578937000004</v>
      </c>
      <c r="V237">
        <v>0.94694940077</v>
      </c>
      <c r="W237" t="s">
        <v>71</v>
      </c>
      <c r="X237" t="s">
        <v>75</v>
      </c>
    </row>
    <row r="238" spans="4:24" x14ac:dyDescent="0.25">
      <c r="D238">
        <v>34413</v>
      </c>
      <c r="E238" s="3">
        <v>42057</v>
      </c>
      <c r="F238">
        <v>21.543299048000002</v>
      </c>
      <c r="G238">
        <v>0.64588811049999995</v>
      </c>
      <c r="H238">
        <v>5.7470063129999999E-2</v>
      </c>
      <c r="I238" t="s">
        <v>71</v>
      </c>
      <c r="J238" t="s">
        <v>76</v>
      </c>
      <c r="R238">
        <v>34221</v>
      </c>
      <c r="S238" s="3">
        <v>42055</v>
      </c>
      <c r="T238">
        <v>18.717684391999999</v>
      </c>
      <c r="U238">
        <v>0.67487146706000001</v>
      </c>
      <c r="V238">
        <v>0.94940496176</v>
      </c>
      <c r="W238" t="s">
        <v>71</v>
      </c>
      <c r="X238" t="s">
        <v>76</v>
      </c>
    </row>
    <row r="239" spans="4:24" x14ac:dyDescent="0.25">
      <c r="D239">
        <v>34414</v>
      </c>
      <c r="E239" s="3">
        <v>42057</v>
      </c>
      <c r="F239">
        <v>21.543299048000002</v>
      </c>
      <c r="G239">
        <v>0.64588811049999995</v>
      </c>
      <c r="H239">
        <v>5.7470063129999999E-2</v>
      </c>
      <c r="I239" t="s">
        <v>71</v>
      </c>
      <c r="J239" t="s">
        <v>77</v>
      </c>
      <c r="R239">
        <v>34222</v>
      </c>
      <c r="S239" s="3">
        <v>42055</v>
      </c>
      <c r="T239">
        <v>18.717684391999999</v>
      </c>
      <c r="U239">
        <v>0.67487146706000001</v>
      </c>
      <c r="V239">
        <v>0.94940496176</v>
      </c>
      <c r="W239" t="s">
        <v>71</v>
      </c>
      <c r="X239" t="s">
        <v>77</v>
      </c>
    </row>
    <row r="240" spans="4:24" x14ac:dyDescent="0.25">
      <c r="D240">
        <v>34415</v>
      </c>
      <c r="E240" s="3">
        <v>42057</v>
      </c>
      <c r="F240">
        <v>21.543299048000002</v>
      </c>
      <c r="G240">
        <v>0.64588811049999995</v>
      </c>
      <c r="H240">
        <v>5.7470063129999999E-2</v>
      </c>
      <c r="I240" t="s">
        <v>71</v>
      </c>
      <c r="J240" t="s">
        <v>78</v>
      </c>
      <c r="R240">
        <v>34223</v>
      </c>
      <c r="S240" s="3">
        <v>42055</v>
      </c>
      <c r="T240">
        <v>18.717684391999999</v>
      </c>
      <c r="U240">
        <v>0.67487146706000001</v>
      </c>
      <c r="V240">
        <v>0.94940496176</v>
      </c>
      <c r="W240" t="s">
        <v>71</v>
      </c>
      <c r="X240" t="s">
        <v>78</v>
      </c>
    </row>
    <row r="241" spans="4:24" x14ac:dyDescent="0.25">
      <c r="D241">
        <v>34416</v>
      </c>
      <c r="E241" s="3">
        <v>42057</v>
      </c>
      <c r="F241">
        <v>21.543299048000002</v>
      </c>
      <c r="G241">
        <v>0.64588811049999995</v>
      </c>
      <c r="H241">
        <v>5.7470063129999999E-2</v>
      </c>
      <c r="I241" t="s">
        <v>71</v>
      </c>
      <c r="J241" t="s">
        <v>79</v>
      </c>
      <c r="R241">
        <v>34224</v>
      </c>
      <c r="S241" s="3">
        <v>42055</v>
      </c>
      <c r="T241">
        <v>18.717684391999999</v>
      </c>
      <c r="U241">
        <v>0.67487146706000001</v>
      </c>
      <c r="V241">
        <v>0.94940496176</v>
      </c>
      <c r="W241" t="s">
        <v>71</v>
      </c>
      <c r="X241" t="s">
        <v>79</v>
      </c>
    </row>
    <row r="242" spans="4:24" x14ac:dyDescent="0.25">
      <c r="D242">
        <v>34417</v>
      </c>
      <c r="E242" s="3">
        <v>42057</v>
      </c>
      <c r="F242">
        <v>23.282697913</v>
      </c>
      <c r="G242">
        <v>0.59477516889000004</v>
      </c>
      <c r="H242">
        <v>6.4856969299999997E-2</v>
      </c>
      <c r="I242" t="s">
        <v>80</v>
      </c>
      <c r="J242" t="s">
        <v>81</v>
      </c>
      <c r="R242">
        <v>34225</v>
      </c>
      <c r="S242" s="3">
        <v>42055</v>
      </c>
      <c r="T242">
        <v>19.293923755000002</v>
      </c>
      <c r="U242">
        <v>0.66550530445</v>
      </c>
      <c r="V242">
        <v>0.95025874343000005</v>
      </c>
      <c r="W242" t="s">
        <v>80</v>
      </c>
      <c r="X242" t="s">
        <v>81</v>
      </c>
    </row>
    <row r="243" spans="4:24" x14ac:dyDescent="0.25">
      <c r="D243">
        <v>34418</v>
      </c>
      <c r="E243" s="3">
        <v>42057</v>
      </c>
      <c r="F243">
        <v>23.282697913</v>
      </c>
      <c r="G243">
        <v>0.59477516889000004</v>
      </c>
      <c r="H243">
        <v>6.4856969299999997E-2</v>
      </c>
      <c r="I243" t="s">
        <v>80</v>
      </c>
      <c r="J243" t="s">
        <v>82</v>
      </c>
      <c r="R243">
        <v>34226</v>
      </c>
      <c r="S243" s="3">
        <v>42055</v>
      </c>
      <c r="T243">
        <v>19.293923755000002</v>
      </c>
      <c r="U243">
        <v>0.66550530445</v>
      </c>
      <c r="V243">
        <v>0.95025874343000005</v>
      </c>
      <c r="W243" t="s">
        <v>80</v>
      </c>
      <c r="X243" t="s">
        <v>82</v>
      </c>
    </row>
    <row r="244" spans="4:24" x14ac:dyDescent="0.25">
      <c r="D244">
        <v>34419</v>
      </c>
      <c r="E244" s="3">
        <v>42057</v>
      </c>
      <c r="F244">
        <v>23.282697913</v>
      </c>
      <c r="G244">
        <v>0.59477516889000004</v>
      </c>
      <c r="H244">
        <v>6.4856969299999997E-2</v>
      </c>
      <c r="I244" t="s">
        <v>80</v>
      </c>
      <c r="J244" t="s">
        <v>83</v>
      </c>
      <c r="R244">
        <v>34227</v>
      </c>
      <c r="S244" s="3">
        <v>42055</v>
      </c>
      <c r="T244">
        <v>19.293923755000002</v>
      </c>
      <c r="U244">
        <v>0.66550530445</v>
      </c>
      <c r="V244">
        <v>0.95025874343000005</v>
      </c>
      <c r="W244" t="s">
        <v>80</v>
      </c>
      <c r="X244" t="s">
        <v>83</v>
      </c>
    </row>
    <row r="245" spans="4:24" x14ac:dyDescent="0.25">
      <c r="D245">
        <v>34420</v>
      </c>
      <c r="E245" s="3">
        <v>42057</v>
      </c>
      <c r="F245">
        <v>23.282697913</v>
      </c>
      <c r="G245">
        <v>0.59477516889000004</v>
      </c>
      <c r="H245">
        <v>6.4856969299999997E-2</v>
      </c>
      <c r="I245" t="s">
        <v>80</v>
      </c>
      <c r="J245" t="s">
        <v>84</v>
      </c>
      <c r="R245">
        <v>34228</v>
      </c>
      <c r="S245" s="3">
        <v>42055</v>
      </c>
      <c r="T245">
        <v>19.293923755000002</v>
      </c>
      <c r="U245">
        <v>0.66550530445</v>
      </c>
      <c r="V245">
        <v>0.95025874343000005</v>
      </c>
      <c r="W245" t="s">
        <v>80</v>
      </c>
      <c r="X245" t="s">
        <v>84</v>
      </c>
    </row>
    <row r="246" spans="4:24" x14ac:dyDescent="0.25">
      <c r="D246">
        <v>34421</v>
      </c>
      <c r="E246" s="3">
        <v>42057</v>
      </c>
      <c r="F246">
        <v>24.442875844</v>
      </c>
      <c r="G246">
        <v>0.57246358389999996</v>
      </c>
      <c r="H246">
        <v>6.0493900789999999E-2</v>
      </c>
      <c r="I246" t="s">
        <v>80</v>
      </c>
      <c r="J246" t="s">
        <v>85</v>
      </c>
      <c r="R246">
        <v>34229</v>
      </c>
      <c r="S246" s="3">
        <v>42055</v>
      </c>
      <c r="T246">
        <v>20.298641388</v>
      </c>
      <c r="U246">
        <v>0.64705119339999995</v>
      </c>
      <c r="V246">
        <v>0.81927660553000003</v>
      </c>
      <c r="W246" t="s">
        <v>80</v>
      </c>
      <c r="X246" t="s">
        <v>85</v>
      </c>
    </row>
    <row r="247" spans="4:24" x14ac:dyDescent="0.25">
      <c r="D247">
        <v>34422</v>
      </c>
      <c r="E247" s="3">
        <v>42057</v>
      </c>
      <c r="F247">
        <v>24.442875844</v>
      </c>
      <c r="G247">
        <v>0.57246358389999996</v>
      </c>
      <c r="H247">
        <v>6.0493900789999999E-2</v>
      </c>
      <c r="I247" t="s">
        <v>80</v>
      </c>
      <c r="J247" t="s">
        <v>86</v>
      </c>
      <c r="R247">
        <v>34230</v>
      </c>
      <c r="S247" s="3">
        <v>42055</v>
      </c>
      <c r="T247">
        <v>20.298641388</v>
      </c>
      <c r="U247">
        <v>0.64705119339999995</v>
      </c>
      <c r="V247">
        <v>0.81927660553000003</v>
      </c>
      <c r="W247" t="s">
        <v>80</v>
      </c>
      <c r="X247" t="s">
        <v>86</v>
      </c>
    </row>
    <row r="248" spans="4:24" x14ac:dyDescent="0.25">
      <c r="D248">
        <v>34423</v>
      </c>
      <c r="E248" s="3">
        <v>42057</v>
      </c>
      <c r="F248">
        <v>24.442875844</v>
      </c>
      <c r="G248">
        <v>0.57246358389999996</v>
      </c>
      <c r="H248">
        <v>6.0493900789999999E-2</v>
      </c>
      <c r="I248" t="s">
        <v>80</v>
      </c>
      <c r="J248" t="s">
        <v>87</v>
      </c>
      <c r="R248">
        <v>34231</v>
      </c>
      <c r="S248" s="3">
        <v>42055</v>
      </c>
      <c r="T248">
        <v>20.298641388</v>
      </c>
      <c r="U248">
        <v>0.64705119339999995</v>
      </c>
      <c r="V248">
        <v>0.81927660553000003</v>
      </c>
      <c r="W248" t="s">
        <v>80</v>
      </c>
      <c r="X248" t="s">
        <v>87</v>
      </c>
    </row>
    <row r="249" spans="4:24" x14ac:dyDescent="0.25">
      <c r="D249">
        <v>34424</v>
      </c>
      <c r="E249" s="3">
        <v>42057</v>
      </c>
      <c r="F249">
        <v>24.442875844</v>
      </c>
      <c r="G249">
        <v>0.57246358389999996</v>
      </c>
      <c r="H249">
        <v>6.0493900789999999E-2</v>
      </c>
      <c r="I249" t="s">
        <v>80</v>
      </c>
      <c r="J249" t="s">
        <v>88</v>
      </c>
      <c r="R249">
        <v>34232</v>
      </c>
      <c r="S249" s="3">
        <v>42055</v>
      </c>
      <c r="T249">
        <v>20.298641388</v>
      </c>
      <c r="U249">
        <v>0.64705119339999995</v>
      </c>
      <c r="V249">
        <v>0.81927660553000003</v>
      </c>
      <c r="W249" t="s">
        <v>80</v>
      </c>
      <c r="X249" t="s">
        <v>88</v>
      </c>
    </row>
    <row r="250" spans="4:24" x14ac:dyDescent="0.25">
      <c r="D250">
        <v>34425</v>
      </c>
      <c r="E250" s="3">
        <v>42057</v>
      </c>
      <c r="F250">
        <v>25.093914972</v>
      </c>
      <c r="G250">
        <v>0.56086180459000001</v>
      </c>
      <c r="H250">
        <v>8.8724373529999997E-2</v>
      </c>
      <c r="I250" t="s">
        <v>89</v>
      </c>
      <c r="J250" t="s">
        <v>90</v>
      </c>
      <c r="R250">
        <v>34233</v>
      </c>
      <c r="S250" s="3">
        <v>42055</v>
      </c>
      <c r="T250">
        <v>21.298641387</v>
      </c>
      <c r="U250">
        <v>0.61872083955000001</v>
      </c>
      <c r="V250">
        <v>0.78107515636000002</v>
      </c>
      <c r="W250" t="s">
        <v>89</v>
      </c>
      <c r="X250" t="s">
        <v>90</v>
      </c>
    </row>
    <row r="251" spans="4:24" x14ac:dyDescent="0.25">
      <c r="D251">
        <v>34426</v>
      </c>
      <c r="E251" s="3">
        <v>42057</v>
      </c>
      <c r="F251">
        <v>25.093914972</v>
      </c>
      <c r="G251">
        <v>0.56086180459000001</v>
      </c>
      <c r="H251">
        <v>8.8724373529999997E-2</v>
      </c>
      <c r="I251" t="s">
        <v>89</v>
      </c>
      <c r="J251" t="s">
        <v>91</v>
      </c>
      <c r="R251">
        <v>34234</v>
      </c>
      <c r="S251" s="3">
        <v>42055</v>
      </c>
      <c r="T251">
        <v>21.298641387</v>
      </c>
      <c r="U251">
        <v>0.61872083955000001</v>
      </c>
      <c r="V251">
        <v>0.78107515636000002</v>
      </c>
      <c r="W251" t="s">
        <v>89</v>
      </c>
      <c r="X251" t="s">
        <v>91</v>
      </c>
    </row>
    <row r="252" spans="4:24" x14ac:dyDescent="0.25">
      <c r="D252">
        <v>34427</v>
      </c>
      <c r="E252" s="3">
        <v>42057</v>
      </c>
      <c r="F252">
        <v>25.093914972</v>
      </c>
      <c r="G252">
        <v>0.56086180459000001</v>
      </c>
      <c r="H252">
        <v>8.8724373529999997E-2</v>
      </c>
      <c r="I252" t="s">
        <v>89</v>
      </c>
      <c r="J252" t="s">
        <v>92</v>
      </c>
      <c r="R252">
        <v>34235</v>
      </c>
      <c r="S252" s="3">
        <v>42055</v>
      </c>
      <c r="T252">
        <v>21.298641387</v>
      </c>
      <c r="U252">
        <v>0.61872083955000001</v>
      </c>
      <c r="V252">
        <v>0.78107515636000002</v>
      </c>
      <c r="W252" t="s">
        <v>89</v>
      </c>
      <c r="X252" t="s">
        <v>92</v>
      </c>
    </row>
    <row r="253" spans="4:24" x14ac:dyDescent="0.25">
      <c r="D253">
        <v>34428</v>
      </c>
      <c r="E253" s="3">
        <v>42057</v>
      </c>
      <c r="F253">
        <v>25.093914972</v>
      </c>
      <c r="G253">
        <v>0.56086180459000001</v>
      </c>
      <c r="H253">
        <v>8.8724373529999997E-2</v>
      </c>
      <c r="I253" t="s">
        <v>89</v>
      </c>
      <c r="J253" t="s">
        <v>93</v>
      </c>
      <c r="R253">
        <v>34236</v>
      </c>
      <c r="S253" s="3">
        <v>42055</v>
      </c>
      <c r="T253">
        <v>21.298641387</v>
      </c>
      <c r="U253">
        <v>0.61872083955000001</v>
      </c>
      <c r="V253">
        <v>0.78107515636000002</v>
      </c>
      <c r="W253" t="s">
        <v>89</v>
      </c>
      <c r="X253" t="s">
        <v>93</v>
      </c>
    </row>
    <row r="254" spans="4:24" x14ac:dyDescent="0.25">
      <c r="D254">
        <v>34429</v>
      </c>
      <c r="E254" s="3">
        <v>42057</v>
      </c>
      <c r="F254">
        <v>25.409553202000001</v>
      </c>
      <c r="G254">
        <v>0.56093071009999995</v>
      </c>
      <c r="H254">
        <v>0.13325874304999999</v>
      </c>
      <c r="I254" t="s">
        <v>89</v>
      </c>
      <c r="J254" t="s">
        <v>94</v>
      </c>
      <c r="R254">
        <v>34237</v>
      </c>
      <c r="S254" s="3">
        <v>42055</v>
      </c>
      <c r="T254">
        <v>22.387838749</v>
      </c>
      <c r="U254">
        <v>0.58841933076999997</v>
      </c>
      <c r="V254">
        <v>0.73715023482999997</v>
      </c>
      <c r="W254" t="s">
        <v>89</v>
      </c>
      <c r="X254" t="s">
        <v>94</v>
      </c>
    </row>
    <row r="255" spans="4:24" x14ac:dyDescent="0.25">
      <c r="D255">
        <v>34430</v>
      </c>
      <c r="E255" s="3">
        <v>42057</v>
      </c>
      <c r="F255">
        <v>25.409553202000001</v>
      </c>
      <c r="G255">
        <v>0.56093071009999995</v>
      </c>
      <c r="H255">
        <v>0.13325874304999999</v>
      </c>
      <c r="I255" t="s">
        <v>89</v>
      </c>
      <c r="J255" t="s">
        <v>95</v>
      </c>
      <c r="R255">
        <v>34238</v>
      </c>
      <c r="S255" s="3">
        <v>42055</v>
      </c>
      <c r="T255">
        <v>22.387838749</v>
      </c>
      <c r="U255">
        <v>0.58841933076999997</v>
      </c>
      <c r="V255">
        <v>0.73715023482999997</v>
      </c>
      <c r="W255" t="s">
        <v>89</v>
      </c>
      <c r="X255" t="s">
        <v>95</v>
      </c>
    </row>
    <row r="256" spans="4:24" x14ac:dyDescent="0.25">
      <c r="D256">
        <v>34431</v>
      </c>
      <c r="E256" s="3">
        <v>42057</v>
      </c>
      <c r="F256">
        <v>25.409553202000001</v>
      </c>
      <c r="G256">
        <v>0.56093071009999995</v>
      </c>
      <c r="H256">
        <v>0.13325874304999999</v>
      </c>
      <c r="I256" t="s">
        <v>89</v>
      </c>
      <c r="J256" t="s">
        <v>96</v>
      </c>
      <c r="R256">
        <v>34239</v>
      </c>
      <c r="S256" s="3">
        <v>42055</v>
      </c>
      <c r="T256">
        <v>22.387838749</v>
      </c>
      <c r="U256">
        <v>0.58841933076999997</v>
      </c>
      <c r="V256">
        <v>0.73715023482999997</v>
      </c>
      <c r="W256" t="s">
        <v>89</v>
      </c>
      <c r="X256" t="s">
        <v>96</v>
      </c>
    </row>
    <row r="257" spans="4:24" x14ac:dyDescent="0.25">
      <c r="D257">
        <v>34432</v>
      </c>
      <c r="E257" s="3">
        <v>42057</v>
      </c>
      <c r="F257">
        <v>25.409553202000001</v>
      </c>
      <c r="G257">
        <v>0.56093071009999995</v>
      </c>
      <c r="H257">
        <v>0.13325874304999999</v>
      </c>
      <c r="I257" t="s">
        <v>89</v>
      </c>
      <c r="J257" t="s">
        <v>97</v>
      </c>
      <c r="R257">
        <v>34240</v>
      </c>
      <c r="S257" s="3">
        <v>42055</v>
      </c>
      <c r="T257">
        <v>22.387838749</v>
      </c>
      <c r="U257">
        <v>0.58841933076999997</v>
      </c>
      <c r="V257">
        <v>0.73715023482999997</v>
      </c>
      <c r="W257" t="s">
        <v>89</v>
      </c>
      <c r="X257" t="s">
        <v>97</v>
      </c>
    </row>
    <row r="258" spans="4:24" x14ac:dyDescent="0.25">
      <c r="D258">
        <v>34433</v>
      </c>
      <c r="E258" s="3">
        <v>42057</v>
      </c>
      <c r="F258">
        <v>25.023832841000001</v>
      </c>
      <c r="G258">
        <v>0.58182268371000001</v>
      </c>
      <c r="H258">
        <v>0.11384517252</v>
      </c>
      <c r="I258" t="s">
        <v>89</v>
      </c>
      <c r="J258" t="s">
        <v>98</v>
      </c>
      <c r="R258">
        <v>34241</v>
      </c>
      <c r="S258" s="3">
        <v>42055</v>
      </c>
      <c r="T258">
        <v>22.454101684000001</v>
      </c>
      <c r="U258">
        <v>0.57526539543999999</v>
      </c>
      <c r="V258">
        <v>0.70208799157000001</v>
      </c>
      <c r="W258" t="s">
        <v>89</v>
      </c>
      <c r="X258" t="s">
        <v>98</v>
      </c>
    </row>
    <row r="259" spans="4:24" x14ac:dyDescent="0.25">
      <c r="D259">
        <v>34434</v>
      </c>
      <c r="E259" s="3">
        <v>42057</v>
      </c>
      <c r="F259">
        <v>25.023832841000001</v>
      </c>
      <c r="G259">
        <v>0.58182268371000001</v>
      </c>
      <c r="H259">
        <v>0.11384517252</v>
      </c>
      <c r="I259" t="s">
        <v>89</v>
      </c>
      <c r="J259" t="s">
        <v>99</v>
      </c>
      <c r="R259">
        <v>34242</v>
      </c>
      <c r="S259" s="3">
        <v>42055</v>
      </c>
      <c r="T259">
        <v>22.454101684000001</v>
      </c>
      <c r="U259">
        <v>0.57526539543999999</v>
      </c>
      <c r="V259">
        <v>0.70208799157000001</v>
      </c>
      <c r="W259" t="s">
        <v>89</v>
      </c>
      <c r="X259" t="s">
        <v>99</v>
      </c>
    </row>
    <row r="260" spans="4:24" x14ac:dyDescent="0.25">
      <c r="D260">
        <v>34435</v>
      </c>
      <c r="E260" s="3">
        <v>42057</v>
      </c>
      <c r="F260">
        <v>25.023832841000001</v>
      </c>
      <c r="G260">
        <v>0.58182268371000001</v>
      </c>
      <c r="H260">
        <v>0.11384517252</v>
      </c>
      <c r="I260" t="s">
        <v>89</v>
      </c>
      <c r="J260" t="s">
        <v>100</v>
      </c>
      <c r="R260">
        <v>34243</v>
      </c>
      <c r="S260" s="3">
        <v>42055</v>
      </c>
      <c r="T260">
        <v>22.454101684000001</v>
      </c>
      <c r="U260">
        <v>0.57526539543999999</v>
      </c>
      <c r="V260">
        <v>0.70208799157000001</v>
      </c>
      <c r="W260" t="s">
        <v>89</v>
      </c>
      <c r="X260" t="s">
        <v>100</v>
      </c>
    </row>
    <row r="261" spans="4:24" x14ac:dyDescent="0.25">
      <c r="D261">
        <v>34436</v>
      </c>
      <c r="E261" s="3">
        <v>42057</v>
      </c>
      <c r="F261">
        <v>25.023832841000001</v>
      </c>
      <c r="G261">
        <v>0.58182268371000001</v>
      </c>
      <c r="H261">
        <v>0.11384517252</v>
      </c>
      <c r="I261" t="s">
        <v>89</v>
      </c>
      <c r="J261" t="s">
        <v>101</v>
      </c>
      <c r="R261">
        <v>34244</v>
      </c>
      <c r="S261" s="3">
        <v>42055</v>
      </c>
      <c r="T261">
        <v>22.454101684000001</v>
      </c>
      <c r="U261">
        <v>0.57526539543999999</v>
      </c>
      <c r="V261">
        <v>0.70208799157000001</v>
      </c>
      <c r="W261" t="s">
        <v>89</v>
      </c>
      <c r="X261" t="s">
        <v>101</v>
      </c>
    </row>
    <row r="262" spans="4:24" x14ac:dyDescent="0.25">
      <c r="D262">
        <v>34437</v>
      </c>
      <c r="E262" s="3">
        <v>42057</v>
      </c>
      <c r="F262">
        <v>23.934635479000001</v>
      </c>
      <c r="G262">
        <v>0.63363262316000002</v>
      </c>
      <c r="H262">
        <v>0.17078089615</v>
      </c>
      <c r="I262" t="s">
        <v>102</v>
      </c>
      <c r="J262" t="s">
        <v>103</v>
      </c>
      <c r="R262">
        <v>34245</v>
      </c>
      <c r="S262" s="3">
        <v>42055</v>
      </c>
      <c r="T262">
        <v>23.082206383999999</v>
      </c>
      <c r="U262">
        <v>0.55534405372999995</v>
      </c>
      <c r="V262">
        <v>0.66353613960000002</v>
      </c>
      <c r="W262" t="s">
        <v>102</v>
      </c>
      <c r="X262" t="s">
        <v>103</v>
      </c>
    </row>
    <row r="263" spans="4:24" x14ac:dyDescent="0.25">
      <c r="D263">
        <v>34438</v>
      </c>
      <c r="E263" s="3">
        <v>42057</v>
      </c>
      <c r="F263">
        <v>23.934635479000001</v>
      </c>
      <c r="G263">
        <v>0.63363262316000002</v>
      </c>
      <c r="H263">
        <v>0.17078089615</v>
      </c>
      <c r="I263" t="s">
        <v>102</v>
      </c>
      <c r="J263" t="s">
        <v>104</v>
      </c>
      <c r="R263">
        <v>34246</v>
      </c>
      <c r="S263" s="3">
        <v>42055</v>
      </c>
      <c r="T263">
        <v>23.082206383999999</v>
      </c>
      <c r="U263">
        <v>0.55534405372999995</v>
      </c>
      <c r="V263">
        <v>0.66353613960000002</v>
      </c>
      <c r="W263" t="s">
        <v>102</v>
      </c>
      <c r="X263" t="s">
        <v>104</v>
      </c>
    </row>
    <row r="264" spans="4:24" x14ac:dyDescent="0.25">
      <c r="D264">
        <v>34439</v>
      </c>
      <c r="E264" s="3">
        <v>42057</v>
      </c>
      <c r="F264">
        <v>23.934635479000001</v>
      </c>
      <c r="G264">
        <v>0.63363262316000002</v>
      </c>
      <c r="H264">
        <v>0.17078089615</v>
      </c>
      <c r="I264" t="s">
        <v>102</v>
      </c>
      <c r="J264" t="s">
        <v>105</v>
      </c>
      <c r="R264">
        <v>34247</v>
      </c>
      <c r="S264" s="3">
        <v>42055</v>
      </c>
      <c r="T264">
        <v>23.082206383999999</v>
      </c>
      <c r="U264">
        <v>0.55534405372999995</v>
      </c>
      <c r="V264">
        <v>0.66353613960000002</v>
      </c>
      <c r="W264" t="s">
        <v>102</v>
      </c>
      <c r="X264" t="s">
        <v>105</v>
      </c>
    </row>
    <row r="265" spans="4:24" x14ac:dyDescent="0.25">
      <c r="D265">
        <v>34440</v>
      </c>
      <c r="E265" s="3">
        <v>42057</v>
      </c>
      <c r="F265">
        <v>23.934635479000001</v>
      </c>
      <c r="G265">
        <v>0.63363262316000002</v>
      </c>
      <c r="H265">
        <v>0.17078089615</v>
      </c>
      <c r="I265" t="s">
        <v>102</v>
      </c>
      <c r="J265" t="s">
        <v>106</v>
      </c>
      <c r="R265">
        <v>34248</v>
      </c>
      <c r="S265" s="3">
        <v>42055</v>
      </c>
      <c r="T265">
        <v>23.082206383999999</v>
      </c>
      <c r="U265">
        <v>0.55534405372999995</v>
      </c>
      <c r="V265">
        <v>0.66353613960000002</v>
      </c>
      <c r="W265" t="s">
        <v>102</v>
      </c>
      <c r="X265" t="s">
        <v>106</v>
      </c>
    </row>
    <row r="266" spans="4:24" x14ac:dyDescent="0.25">
      <c r="D266">
        <v>34441</v>
      </c>
      <c r="E266" s="3">
        <v>42057</v>
      </c>
      <c r="F266">
        <v>22.353678482999999</v>
      </c>
      <c r="G266">
        <v>0.71040733527</v>
      </c>
      <c r="H266">
        <v>0.19456475413999999</v>
      </c>
      <c r="I266" t="s">
        <v>102</v>
      </c>
      <c r="J266" t="s">
        <v>107</v>
      </c>
      <c r="R266">
        <v>34249</v>
      </c>
      <c r="S266" s="3">
        <v>42055</v>
      </c>
      <c r="T266">
        <v>21.599882018999999</v>
      </c>
      <c r="U266">
        <v>0.59840425944999998</v>
      </c>
      <c r="V266">
        <v>0.62847389633999995</v>
      </c>
      <c r="W266" t="s">
        <v>102</v>
      </c>
      <c r="X266" t="s">
        <v>107</v>
      </c>
    </row>
    <row r="267" spans="4:24" x14ac:dyDescent="0.25">
      <c r="D267">
        <v>34442</v>
      </c>
      <c r="E267" s="3">
        <v>42057</v>
      </c>
      <c r="F267">
        <v>22.353678482999999</v>
      </c>
      <c r="G267">
        <v>0.71040733527</v>
      </c>
      <c r="H267">
        <v>0.19456475413999999</v>
      </c>
      <c r="I267" t="s">
        <v>102</v>
      </c>
      <c r="J267" t="s">
        <v>108</v>
      </c>
      <c r="R267">
        <v>34250</v>
      </c>
      <c r="S267" s="3">
        <v>42055</v>
      </c>
      <c r="T267">
        <v>21.599882018999999</v>
      </c>
      <c r="U267">
        <v>0.59840425944999998</v>
      </c>
      <c r="V267">
        <v>0.62847389633999995</v>
      </c>
      <c r="W267" t="s">
        <v>102</v>
      </c>
      <c r="X267" t="s">
        <v>108</v>
      </c>
    </row>
    <row r="268" spans="4:24" x14ac:dyDescent="0.25">
      <c r="D268">
        <v>34443</v>
      </c>
      <c r="E268" s="3">
        <v>42057</v>
      </c>
      <c r="F268">
        <v>22.353678482999999</v>
      </c>
      <c r="G268">
        <v>0.71040733527</v>
      </c>
      <c r="H268">
        <v>0.19456475413999999</v>
      </c>
      <c r="I268" t="s">
        <v>109</v>
      </c>
      <c r="J268" t="s">
        <v>110</v>
      </c>
      <c r="R268">
        <v>34251</v>
      </c>
      <c r="S268" s="3">
        <v>42055</v>
      </c>
      <c r="T268">
        <v>21.599882018999999</v>
      </c>
      <c r="U268">
        <v>0.59840425944999998</v>
      </c>
      <c r="V268">
        <v>0.62847389633999995</v>
      </c>
      <c r="W268" t="s">
        <v>109</v>
      </c>
      <c r="X268" t="s">
        <v>110</v>
      </c>
    </row>
    <row r="269" spans="4:24" x14ac:dyDescent="0.25">
      <c r="D269">
        <v>34444</v>
      </c>
      <c r="E269" s="3">
        <v>42057</v>
      </c>
      <c r="F269">
        <v>22.353678482999999</v>
      </c>
      <c r="G269">
        <v>0.71040733527</v>
      </c>
      <c r="H269">
        <v>0.19456475413999999</v>
      </c>
      <c r="I269" t="s">
        <v>109</v>
      </c>
      <c r="J269" t="s">
        <v>111</v>
      </c>
      <c r="R269">
        <v>34252</v>
      </c>
      <c r="S269" s="3">
        <v>42055</v>
      </c>
      <c r="T269">
        <v>21.599882018999999</v>
      </c>
      <c r="U269">
        <v>0.59840425944999998</v>
      </c>
      <c r="V269">
        <v>0.62847389633999995</v>
      </c>
      <c r="W269" t="s">
        <v>109</v>
      </c>
      <c r="X269" t="s">
        <v>111</v>
      </c>
    </row>
    <row r="270" spans="4:24" x14ac:dyDescent="0.25">
      <c r="D270">
        <v>34445</v>
      </c>
      <c r="E270" s="3">
        <v>42057</v>
      </c>
      <c r="F270">
        <v>20.019115211999999</v>
      </c>
      <c r="G270">
        <v>0.77924111529999995</v>
      </c>
      <c r="H270">
        <v>0.24580476536000001</v>
      </c>
      <c r="I270" t="s">
        <v>109</v>
      </c>
      <c r="J270" t="s">
        <v>112</v>
      </c>
      <c r="R270">
        <v>34253</v>
      </c>
      <c r="S270" s="3">
        <v>42055</v>
      </c>
      <c r="T270">
        <v>19.844539682000001</v>
      </c>
      <c r="U270">
        <v>0.64259314031000003</v>
      </c>
      <c r="V270">
        <v>0.49930330517999999</v>
      </c>
      <c r="W270" t="s">
        <v>109</v>
      </c>
      <c r="X270" t="s">
        <v>112</v>
      </c>
    </row>
    <row r="271" spans="4:24" x14ac:dyDescent="0.25">
      <c r="D271">
        <v>34446</v>
      </c>
      <c r="E271" s="3">
        <v>42057</v>
      </c>
      <c r="F271">
        <v>20.019115211999999</v>
      </c>
      <c r="G271">
        <v>0.77924111529999995</v>
      </c>
      <c r="H271">
        <v>0.24580476536000001</v>
      </c>
      <c r="I271" t="s">
        <v>109</v>
      </c>
      <c r="J271" t="s">
        <v>113</v>
      </c>
      <c r="R271">
        <v>34254</v>
      </c>
      <c r="S271" s="3">
        <v>42055</v>
      </c>
      <c r="T271">
        <v>19.844539682000001</v>
      </c>
      <c r="U271">
        <v>0.64259314031000003</v>
      </c>
      <c r="V271">
        <v>0.49930330517999999</v>
      </c>
      <c r="W271" t="s">
        <v>109</v>
      </c>
      <c r="X271" t="s">
        <v>113</v>
      </c>
    </row>
    <row r="272" spans="4:24" x14ac:dyDescent="0.25">
      <c r="D272">
        <v>34447</v>
      </c>
      <c r="E272" s="3">
        <v>42057</v>
      </c>
      <c r="F272">
        <v>20.019115211999999</v>
      </c>
      <c r="G272">
        <v>0.77924111529999995</v>
      </c>
      <c r="H272">
        <v>0.24580476536000001</v>
      </c>
      <c r="I272" t="s">
        <v>109</v>
      </c>
      <c r="J272" t="s">
        <v>114</v>
      </c>
      <c r="R272">
        <v>34255</v>
      </c>
      <c r="S272" s="3">
        <v>42055</v>
      </c>
      <c r="T272">
        <v>19.844539682000001</v>
      </c>
      <c r="U272">
        <v>0.64259314031000003</v>
      </c>
      <c r="V272">
        <v>0.49930330517999999</v>
      </c>
      <c r="W272" t="s">
        <v>109</v>
      </c>
      <c r="X272" t="s">
        <v>114</v>
      </c>
    </row>
    <row r="273" spans="4:24" x14ac:dyDescent="0.25">
      <c r="D273">
        <v>34448</v>
      </c>
      <c r="E273" s="3">
        <v>42057</v>
      </c>
      <c r="F273">
        <v>20.019115211999999</v>
      </c>
      <c r="G273">
        <v>0.77924111529999995</v>
      </c>
      <c r="H273">
        <v>0.24580476536000001</v>
      </c>
      <c r="I273" t="s">
        <v>109</v>
      </c>
      <c r="J273" t="s">
        <v>115</v>
      </c>
      <c r="R273">
        <v>34256</v>
      </c>
      <c r="S273" s="3">
        <v>42055</v>
      </c>
      <c r="T273">
        <v>19.844539682000001</v>
      </c>
      <c r="U273">
        <v>0.64259314031000003</v>
      </c>
      <c r="V273">
        <v>0.49930330517999999</v>
      </c>
      <c r="W273" t="s">
        <v>109</v>
      </c>
      <c r="X273" t="s">
        <v>115</v>
      </c>
    </row>
    <row r="274" spans="4:24" x14ac:dyDescent="0.25">
      <c r="D274">
        <v>34449</v>
      </c>
      <c r="E274" s="3">
        <v>42057</v>
      </c>
      <c r="F274">
        <v>18.089197344999999</v>
      </c>
      <c r="G274">
        <v>0.85623524632000003</v>
      </c>
      <c r="H274">
        <v>0.29440848031</v>
      </c>
      <c r="I274" t="s">
        <v>109</v>
      </c>
      <c r="J274" t="s">
        <v>116</v>
      </c>
      <c r="R274">
        <v>34257</v>
      </c>
      <c r="S274" s="3">
        <v>42055</v>
      </c>
      <c r="T274">
        <v>18.331581684</v>
      </c>
      <c r="U274">
        <v>0.68924050779000001</v>
      </c>
      <c r="V274">
        <v>0.39199914470000002</v>
      </c>
      <c r="W274" t="s">
        <v>109</v>
      </c>
      <c r="X274" t="s">
        <v>116</v>
      </c>
    </row>
    <row r="275" spans="4:24" x14ac:dyDescent="0.25">
      <c r="D275">
        <v>34450</v>
      </c>
      <c r="E275" s="3">
        <v>42057</v>
      </c>
      <c r="F275">
        <v>18.089197344999999</v>
      </c>
      <c r="G275">
        <v>0.85623524632000003</v>
      </c>
      <c r="H275">
        <v>0.29440848031</v>
      </c>
      <c r="I275" t="s">
        <v>109</v>
      </c>
      <c r="J275" t="s">
        <v>117</v>
      </c>
      <c r="R275">
        <v>34258</v>
      </c>
      <c r="S275" s="3">
        <v>42055</v>
      </c>
      <c r="T275">
        <v>18.331581684</v>
      </c>
      <c r="U275">
        <v>0.68924050779000001</v>
      </c>
      <c r="V275">
        <v>0.39199914470000002</v>
      </c>
      <c r="W275" t="s">
        <v>109</v>
      </c>
      <c r="X275" t="s">
        <v>117</v>
      </c>
    </row>
    <row r="276" spans="4:24" x14ac:dyDescent="0.25">
      <c r="D276">
        <v>34451</v>
      </c>
      <c r="E276" s="3">
        <v>42057</v>
      </c>
      <c r="F276">
        <v>18.089197344999999</v>
      </c>
      <c r="G276">
        <v>0.85623524632000003</v>
      </c>
      <c r="H276">
        <v>0.29440848031</v>
      </c>
      <c r="I276" t="s">
        <v>109</v>
      </c>
      <c r="J276" t="s">
        <v>118</v>
      </c>
      <c r="R276">
        <v>34259</v>
      </c>
      <c r="S276" s="3">
        <v>42055</v>
      </c>
      <c r="T276">
        <v>18.331581684</v>
      </c>
      <c r="U276">
        <v>0.68924050779000001</v>
      </c>
      <c r="V276">
        <v>0.39199914470000002</v>
      </c>
      <c r="W276" t="s">
        <v>109</v>
      </c>
      <c r="X276" t="s">
        <v>118</v>
      </c>
    </row>
    <row r="277" spans="4:24" x14ac:dyDescent="0.25">
      <c r="D277">
        <v>34452</v>
      </c>
      <c r="E277" s="3">
        <v>42057</v>
      </c>
      <c r="F277">
        <v>18.089197344999999</v>
      </c>
      <c r="G277">
        <v>0.85623524632000003</v>
      </c>
      <c r="H277">
        <v>0.29440848031</v>
      </c>
      <c r="I277" t="s">
        <v>109</v>
      </c>
      <c r="J277" t="s">
        <v>119</v>
      </c>
      <c r="R277">
        <v>34260</v>
      </c>
      <c r="S277" s="3">
        <v>42055</v>
      </c>
      <c r="T277">
        <v>18.331581684</v>
      </c>
      <c r="U277">
        <v>0.68924050779000001</v>
      </c>
      <c r="V277">
        <v>0.39199914470000002</v>
      </c>
      <c r="W277" t="s">
        <v>109</v>
      </c>
      <c r="X277" t="s">
        <v>119</v>
      </c>
    </row>
    <row r="278" spans="4:24" x14ac:dyDescent="0.25">
      <c r="D278">
        <v>34453</v>
      </c>
      <c r="E278" s="3">
        <v>42057</v>
      </c>
      <c r="F278">
        <v>17.614279621000001</v>
      </c>
      <c r="G278">
        <v>0.88513666160000004</v>
      </c>
      <c r="H278">
        <v>0.31399926179999998</v>
      </c>
      <c r="I278" t="s">
        <v>109</v>
      </c>
      <c r="J278" t="s">
        <v>120</v>
      </c>
      <c r="R278">
        <v>34261</v>
      </c>
      <c r="S278" s="3">
        <v>42055</v>
      </c>
      <c r="T278">
        <v>17.171403753</v>
      </c>
      <c r="U278">
        <v>0.71671184124999998</v>
      </c>
      <c r="V278">
        <v>0.29765928816999998</v>
      </c>
      <c r="W278" t="s">
        <v>109</v>
      </c>
      <c r="X278" t="s">
        <v>120</v>
      </c>
    </row>
    <row r="279" spans="4:24" x14ac:dyDescent="0.25">
      <c r="D279">
        <v>34454</v>
      </c>
      <c r="E279" s="3">
        <v>42057</v>
      </c>
      <c r="F279">
        <v>17.614279621000001</v>
      </c>
      <c r="G279">
        <v>0.88513666160000004</v>
      </c>
      <c r="H279">
        <v>0.31399926179999998</v>
      </c>
      <c r="I279" t="s">
        <v>109</v>
      </c>
      <c r="J279" t="s">
        <v>121</v>
      </c>
      <c r="R279">
        <v>34262</v>
      </c>
      <c r="S279" s="3">
        <v>42055</v>
      </c>
      <c r="T279">
        <v>17.171403753</v>
      </c>
      <c r="U279">
        <v>0.71671184124999998</v>
      </c>
      <c r="V279">
        <v>0.29765928816999998</v>
      </c>
      <c r="W279" t="s">
        <v>109</v>
      </c>
      <c r="X279" t="s">
        <v>121</v>
      </c>
    </row>
    <row r="280" spans="4:24" x14ac:dyDescent="0.25">
      <c r="D280">
        <v>34455</v>
      </c>
      <c r="E280" s="3">
        <v>42057</v>
      </c>
      <c r="F280">
        <v>17.614279621000001</v>
      </c>
      <c r="G280">
        <v>0.88513666160000004</v>
      </c>
      <c r="H280">
        <v>0.31399926179999998</v>
      </c>
      <c r="I280" t="s">
        <v>122</v>
      </c>
      <c r="J280" t="s">
        <v>123</v>
      </c>
      <c r="R280">
        <v>34263</v>
      </c>
      <c r="S280" s="3">
        <v>42055</v>
      </c>
      <c r="T280">
        <v>17.171403753</v>
      </c>
      <c r="U280">
        <v>0.71671184124999998</v>
      </c>
      <c r="V280">
        <v>0.29765928816999998</v>
      </c>
      <c r="W280" t="s">
        <v>122</v>
      </c>
      <c r="X280" t="s">
        <v>123</v>
      </c>
    </row>
    <row r="281" spans="4:24" x14ac:dyDescent="0.25">
      <c r="D281">
        <v>34456</v>
      </c>
      <c r="E281" s="3">
        <v>42057</v>
      </c>
      <c r="F281">
        <v>17.614279621000001</v>
      </c>
      <c r="G281">
        <v>0.88513666160000004</v>
      </c>
      <c r="H281">
        <v>0.31399926179999998</v>
      </c>
      <c r="I281" t="s">
        <v>122</v>
      </c>
      <c r="J281" t="s">
        <v>124</v>
      </c>
      <c r="R281">
        <v>34264</v>
      </c>
      <c r="S281" s="3">
        <v>42055</v>
      </c>
      <c r="T281">
        <v>17.171403753</v>
      </c>
      <c r="U281">
        <v>0.71671184124999998</v>
      </c>
      <c r="V281">
        <v>0.29765928816999998</v>
      </c>
      <c r="W281" t="s">
        <v>122</v>
      </c>
      <c r="X281" t="s">
        <v>124</v>
      </c>
    </row>
    <row r="282" spans="4:24" x14ac:dyDescent="0.25">
      <c r="D282">
        <v>34457</v>
      </c>
      <c r="E282" s="3">
        <v>42057</v>
      </c>
      <c r="F282">
        <v>16.858937282999999</v>
      </c>
      <c r="G282">
        <v>0.90182084456</v>
      </c>
      <c r="H282">
        <v>0.39354353752999999</v>
      </c>
      <c r="I282" t="s">
        <v>122</v>
      </c>
      <c r="J282" t="s">
        <v>125</v>
      </c>
      <c r="R282">
        <v>34265</v>
      </c>
      <c r="S282" s="3">
        <v>42055</v>
      </c>
      <c r="T282">
        <v>16.401663816999999</v>
      </c>
      <c r="U282">
        <v>0.73646841472000002</v>
      </c>
      <c r="V282">
        <v>0.20417968767</v>
      </c>
      <c r="W282" t="s">
        <v>122</v>
      </c>
      <c r="X282" t="s">
        <v>125</v>
      </c>
    </row>
    <row r="283" spans="4:24" x14ac:dyDescent="0.25">
      <c r="D283">
        <v>34458</v>
      </c>
      <c r="E283" s="3">
        <v>42057</v>
      </c>
      <c r="F283">
        <v>16.858937282999999</v>
      </c>
      <c r="G283">
        <v>0.90182084456</v>
      </c>
      <c r="H283">
        <v>0.39354353752999999</v>
      </c>
      <c r="I283" t="s">
        <v>122</v>
      </c>
      <c r="J283" t="s">
        <v>126</v>
      </c>
      <c r="R283">
        <v>34266</v>
      </c>
      <c r="S283" s="3">
        <v>42055</v>
      </c>
      <c r="T283">
        <v>16.401663816999999</v>
      </c>
      <c r="U283">
        <v>0.73646841472000002</v>
      </c>
      <c r="V283">
        <v>0.20417968767</v>
      </c>
      <c r="W283" t="s">
        <v>122</v>
      </c>
      <c r="X283" t="s">
        <v>126</v>
      </c>
    </row>
    <row r="284" spans="4:24" x14ac:dyDescent="0.25">
      <c r="D284">
        <v>34459</v>
      </c>
      <c r="E284" s="3">
        <v>42057</v>
      </c>
      <c r="F284">
        <v>16.858937282999999</v>
      </c>
      <c r="G284">
        <v>0.90182084456</v>
      </c>
      <c r="H284">
        <v>0.39354353752999999</v>
      </c>
      <c r="I284" t="s">
        <v>122</v>
      </c>
      <c r="J284" t="s">
        <v>127</v>
      </c>
      <c r="R284">
        <v>34267</v>
      </c>
      <c r="S284" s="3">
        <v>42055</v>
      </c>
      <c r="T284">
        <v>16.401663816999999</v>
      </c>
      <c r="U284">
        <v>0.73646841472000002</v>
      </c>
      <c r="V284">
        <v>0.20417968767</v>
      </c>
      <c r="W284" t="s">
        <v>122</v>
      </c>
      <c r="X284" t="s">
        <v>127</v>
      </c>
    </row>
    <row r="285" spans="4:24" x14ac:dyDescent="0.25">
      <c r="D285">
        <v>34460</v>
      </c>
      <c r="E285" s="3">
        <v>42057</v>
      </c>
      <c r="F285">
        <v>16.858937282999999</v>
      </c>
      <c r="G285">
        <v>0.90182084456</v>
      </c>
      <c r="H285">
        <v>0.39354353752999999</v>
      </c>
      <c r="I285" t="s">
        <v>122</v>
      </c>
      <c r="J285" t="s">
        <v>128</v>
      </c>
      <c r="R285">
        <v>34268</v>
      </c>
      <c r="S285" s="3">
        <v>42055</v>
      </c>
      <c r="T285">
        <v>16.401663816999999</v>
      </c>
      <c r="U285">
        <v>0.73646841472000002</v>
      </c>
      <c r="V285">
        <v>0.20417968767</v>
      </c>
      <c r="W285" t="s">
        <v>122</v>
      </c>
      <c r="X285" t="s">
        <v>128</v>
      </c>
    </row>
    <row r="286" spans="4:24" x14ac:dyDescent="0.25">
      <c r="D286">
        <v>34461</v>
      </c>
      <c r="E286" s="3">
        <v>42057</v>
      </c>
      <c r="F286">
        <v>17.089197345999999</v>
      </c>
      <c r="G286">
        <v>0.89587009833999998</v>
      </c>
      <c r="H286">
        <v>0.41081259673999998</v>
      </c>
      <c r="I286" t="s">
        <v>122</v>
      </c>
      <c r="J286" t="s">
        <v>129</v>
      </c>
      <c r="R286">
        <v>34269</v>
      </c>
      <c r="S286" s="3">
        <v>42055</v>
      </c>
      <c r="T286">
        <v>15.755342323000001</v>
      </c>
      <c r="U286">
        <v>0.74256403475999999</v>
      </c>
      <c r="V286">
        <v>0.11073180477</v>
      </c>
      <c r="W286" t="s">
        <v>122</v>
      </c>
      <c r="X286" t="s">
        <v>129</v>
      </c>
    </row>
    <row r="287" spans="4:24" x14ac:dyDescent="0.25">
      <c r="D287">
        <v>34462</v>
      </c>
      <c r="E287" s="3">
        <v>42057</v>
      </c>
      <c r="F287">
        <v>17.089197345999999</v>
      </c>
      <c r="G287">
        <v>0.89587009833999998</v>
      </c>
      <c r="H287">
        <v>0.41081259673999998</v>
      </c>
      <c r="I287" t="s">
        <v>122</v>
      </c>
      <c r="J287" t="s">
        <v>130</v>
      </c>
      <c r="R287">
        <v>34270</v>
      </c>
      <c r="S287" s="3">
        <v>42055</v>
      </c>
      <c r="T287">
        <v>15.755342323000001</v>
      </c>
      <c r="U287">
        <v>0.74256403475999999</v>
      </c>
      <c r="V287">
        <v>0.11073180477</v>
      </c>
      <c r="W287" t="s">
        <v>122</v>
      </c>
      <c r="X287" t="s">
        <v>130</v>
      </c>
    </row>
    <row r="288" spans="4:24" x14ac:dyDescent="0.25">
      <c r="D288">
        <v>34463</v>
      </c>
      <c r="E288" s="3">
        <v>42057</v>
      </c>
      <c r="F288">
        <v>17.089197345999999</v>
      </c>
      <c r="G288">
        <v>0.89587009833999998</v>
      </c>
      <c r="H288">
        <v>0.41081259673999998</v>
      </c>
      <c r="I288" t="s">
        <v>122</v>
      </c>
      <c r="J288" t="s">
        <v>131</v>
      </c>
      <c r="R288">
        <v>34271</v>
      </c>
      <c r="S288" s="3">
        <v>42055</v>
      </c>
      <c r="T288">
        <v>15.755342323000001</v>
      </c>
      <c r="U288">
        <v>0.74256403475999999</v>
      </c>
      <c r="V288">
        <v>0.11073180477</v>
      </c>
      <c r="W288" t="s">
        <v>122</v>
      </c>
      <c r="X288" t="s">
        <v>131</v>
      </c>
    </row>
    <row r="289" spans="4:24" x14ac:dyDescent="0.25">
      <c r="D289">
        <v>34464</v>
      </c>
      <c r="E289" s="3">
        <v>42057</v>
      </c>
      <c r="F289">
        <v>17.089197345999999</v>
      </c>
      <c r="G289">
        <v>0.89587009833999998</v>
      </c>
      <c r="H289">
        <v>0.41081259673999998</v>
      </c>
      <c r="I289" t="s">
        <v>122</v>
      </c>
      <c r="J289" t="s">
        <v>132</v>
      </c>
      <c r="R289">
        <v>34272</v>
      </c>
      <c r="S289" s="3">
        <v>42055</v>
      </c>
      <c r="T289">
        <v>15.755342323000001</v>
      </c>
      <c r="U289">
        <v>0.74256403475999999</v>
      </c>
      <c r="V289">
        <v>0.11073180477</v>
      </c>
      <c r="W289" t="s">
        <v>122</v>
      </c>
      <c r="X289" t="s">
        <v>132</v>
      </c>
    </row>
    <row r="290" spans="4:24" x14ac:dyDescent="0.25">
      <c r="D290">
        <v>34081</v>
      </c>
      <c r="E290" s="3">
        <v>42054</v>
      </c>
      <c r="F290">
        <v>16.342807524000001</v>
      </c>
      <c r="G290">
        <v>0.79828669448</v>
      </c>
      <c r="H290">
        <v>0.54107039813000002</v>
      </c>
      <c r="I290" t="s">
        <v>25</v>
      </c>
      <c r="J290" t="s">
        <v>26</v>
      </c>
      <c r="R290">
        <v>33889</v>
      </c>
      <c r="S290" s="3">
        <v>42052</v>
      </c>
      <c r="T290">
        <v>16.981783189000001</v>
      </c>
      <c r="U290">
        <v>0.78276132026</v>
      </c>
      <c r="V290">
        <v>0.70241666375</v>
      </c>
      <c r="W290" t="s">
        <v>25</v>
      </c>
      <c r="X290" t="s">
        <v>26</v>
      </c>
    </row>
    <row r="291" spans="4:24" x14ac:dyDescent="0.25">
      <c r="D291">
        <v>34082</v>
      </c>
      <c r="E291" s="3">
        <v>42054</v>
      </c>
      <c r="F291">
        <v>16.342807524000001</v>
      </c>
      <c r="G291">
        <v>0.79828669448</v>
      </c>
      <c r="H291">
        <v>0.54107039813000002</v>
      </c>
      <c r="I291" t="s">
        <v>25</v>
      </c>
      <c r="J291" t="s">
        <v>27</v>
      </c>
      <c r="R291">
        <v>33890</v>
      </c>
      <c r="S291" s="3">
        <v>42052</v>
      </c>
      <c r="T291">
        <v>16.981783189000001</v>
      </c>
      <c r="U291">
        <v>0.78276132026</v>
      </c>
      <c r="V291">
        <v>0.70241666375</v>
      </c>
      <c r="W291" t="s">
        <v>25</v>
      </c>
      <c r="X291" t="s">
        <v>27</v>
      </c>
    </row>
    <row r="292" spans="4:24" x14ac:dyDescent="0.25">
      <c r="D292">
        <v>34083</v>
      </c>
      <c r="E292" s="3">
        <v>42054</v>
      </c>
      <c r="F292">
        <v>16.342807524000001</v>
      </c>
      <c r="G292">
        <v>0.79828669448</v>
      </c>
      <c r="H292">
        <v>0.54107039813000002</v>
      </c>
      <c r="I292" t="s">
        <v>25</v>
      </c>
      <c r="J292" t="s">
        <v>28</v>
      </c>
      <c r="R292">
        <v>33891</v>
      </c>
      <c r="S292" s="3">
        <v>42052</v>
      </c>
      <c r="T292">
        <v>16.981783189000001</v>
      </c>
      <c r="U292">
        <v>0.78276132026</v>
      </c>
      <c r="V292">
        <v>0.70241666375</v>
      </c>
      <c r="W292" t="s">
        <v>25</v>
      </c>
      <c r="X292" t="s">
        <v>28</v>
      </c>
    </row>
    <row r="293" spans="4:24" x14ac:dyDescent="0.25">
      <c r="D293">
        <v>34084</v>
      </c>
      <c r="E293" s="3">
        <v>42054</v>
      </c>
      <c r="F293">
        <v>16.342807524000001</v>
      </c>
      <c r="G293">
        <v>0.79828669448</v>
      </c>
      <c r="H293">
        <v>0.54107039813000002</v>
      </c>
      <c r="I293" t="s">
        <v>25</v>
      </c>
      <c r="J293" t="s">
        <v>29</v>
      </c>
      <c r="R293">
        <v>33892</v>
      </c>
      <c r="S293" s="3">
        <v>42052</v>
      </c>
      <c r="T293">
        <v>16.981783189000001</v>
      </c>
      <c r="U293">
        <v>0.78276132026</v>
      </c>
      <c r="V293">
        <v>0.70241666375</v>
      </c>
      <c r="W293" t="s">
        <v>25</v>
      </c>
      <c r="X293" t="s">
        <v>29</v>
      </c>
    </row>
    <row r="294" spans="4:24" x14ac:dyDescent="0.25">
      <c r="D294">
        <v>34085</v>
      </c>
      <c r="E294" s="3">
        <v>42054</v>
      </c>
      <c r="F294">
        <v>15.799508455</v>
      </c>
      <c r="G294">
        <v>0.81765597942000001</v>
      </c>
      <c r="H294">
        <v>0.54898144198999999</v>
      </c>
      <c r="I294" t="s">
        <v>25</v>
      </c>
      <c r="J294" t="s">
        <v>30</v>
      </c>
      <c r="R294">
        <v>33893</v>
      </c>
      <c r="S294" s="3">
        <v>42052</v>
      </c>
      <c r="T294">
        <v>16.561004124</v>
      </c>
      <c r="U294">
        <v>0.81175200534000003</v>
      </c>
      <c r="V294">
        <v>0.69387576086000002</v>
      </c>
      <c r="W294" t="s">
        <v>25</v>
      </c>
      <c r="X294" t="s">
        <v>30</v>
      </c>
    </row>
    <row r="295" spans="4:24" x14ac:dyDescent="0.25">
      <c r="D295">
        <v>34086</v>
      </c>
      <c r="E295" s="3">
        <v>42054</v>
      </c>
      <c r="F295">
        <v>15.799508455</v>
      </c>
      <c r="G295">
        <v>0.81765597942000001</v>
      </c>
      <c r="H295">
        <v>0.54898144198999999</v>
      </c>
      <c r="I295" t="s">
        <v>25</v>
      </c>
      <c r="J295" t="s">
        <v>31</v>
      </c>
      <c r="R295">
        <v>33894</v>
      </c>
      <c r="S295" s="3">
        <v>42052</v>
      </c>
      <c r="T295">
        <v>16.561004124</v>
      </c>
      <c r="U295">
        <v>0.81175200534000003</v>
      </c>
      <c r="V295">
        <v>0.69387576086000002</v>
      </c>
      <c r="W295" t="s">
        <v>25</v>
      </c>
      <c r="X295" t="s">
        <v>31</v>
      </c>
    </row>
    <row r="296" spans="4:24" x14ac:dyDescent="0.25">
      <c r="D296">
        <v>34087</v>
      </c>
      <c r="E296" s="3">
        <v>42054</v>
      </c>
      <c r="F296">
        <v>15.799508455</v>
      </c>
      <c r="G296">
        <v>0.81765597942000001</v>
      </c>
      <c r="H296">
        <v>0.54898144198999999</v>
      </c>
      <c r="I296" t="s">
        <v>25</v>
      </c>
      <c r="J296" t="s">
        <v>32</v>
      </c>
      <c r="R296">
        <v>33895</v>
      </c>
      <c r="S296" s="3">
        <v>42052</v>
      </c>
      <c r="T296">
        <v>16.561004124</v>
      </c>
      <c r="U296">
        <v>0.81175200534000003</v>
      </c>
      <c r="V296">
        <v>0.69387576086000002</v>
      </c>
      <c r="W296" t="s">
        <v>25</v>
      </c>
      <c r="X296" t="s">
        <v>32</v>
      </c>
    </row>
    <row r="297" spans="4:24" x14ac:dyDescent="0.25">
      <c r="D297">
        <v>34088</v>
      </c>
      <c r="E297" s="3">
        <v>42054</v>
      </c>
      <c r="F297">
        <v>15.799508455</v>
      </c>
      <c r="G297">
        <v>0.81765597942000001</v>
      </c>
      <c r="H297">
        <v>0.54898144198999999</v>
      </c>
      <c r="I297" t="s">
        <v>25</v>
      </c>
      <c r="J297" t="s">
        <v>33</v>
      </c>
      <c r="R297">
        <v>33896</v>
      </c>
      <c r="S297" s="3">
        <v>42052</v>
      </c>
      <c r="T297">
        <v>16.561004124</v>
      </c>
      <c r="U297">
        <v>0.81175200534000003</v>
      </c>
      <c r="V297">
        <v>0.69387576086000002</v>
      </c>
      <c r="W297" t="s">
        <v>25</v>
      </c>
      <c r="X297" t="s">
        <v>33</v>
      </c>
    </row>
    <row r="298" spans="4:24" x14ac:dyDescent="0.25">
      <c r="D298">
        <v>34089</v>
      </c>
      <c r="E298" s="3">
        <v>42054</v>
      </c>
      <c r="F298">
        <v>14.093914982999999</v>
      </c>
      <c r="G298">
        <v>0.87745919626000002</v>
      </c>
      <c r="H298">
        <v>0.57793805709000001</v>
      </c>
      <c r="I298" t="s">
        <v>25</v>
      </c>
      <c r="J298" t="s">
        <v>34</v>
      </c>
      <c r="R298">
        <v>33897</v>
      </c>
      <c r="S298" s="3">
        <v>42052</v>
      </c>
      <c r="T298">
        <v>16.557124115000001</v>
      </c>
      <c r="U298">
        <v>0.79907768448000005</v>
      </c>
      <c r="V298">
        <v>0.69347239696999996</v>
      </c>
      <c r="W298" t="s">
        <v>25</v>
      </c>
      <c r="X298" t="s">
        <v>34</v>
      </c>
    </row>
    <row r="299" spans="4:24" x14ac:dyDescent="0.25">
      <c r="D299">
        <v>34090</v>
      </c>
      <c r="E299" s="3">
        <v>42054</v>
      </c>
      <c r="F299">
        <v>14.093914982999999</v>
      </c>
      <c r="G299">
        <v>0.87745919626000002</v>
      </c>
      <c r="H299">
        <v>0.57793805709000001</v>
      </c>
      <c r="I299" t="s">
        <v>25</v>
      </c>
      <c r="J299" t="s">
        <v>35</v>
      </c>
      <c r="R299">
        <v>33898</v>
      </c>
      <c r="S299" s="3">
        <v>42052</v>
      </c>
      <c r="T299">
        <v>16.557124115000001</v>
      </c>
      <c r="U299">
        <v>0.79907768448000005</v>
      </c>
      <c r="V299">
        <v>0.69347239696999996</v>
      </c>
      <c r="W299" t="s">
        <v>25</v>
      </c>
      <c r="X299" t="s">
        <v>35</v>
      </c>
    </row>
    <row r="300" spans="4:24" x14ac:dyDescent="0.25">
      <c r="D300">
        <v>34091</v>
      </c>
      <c r="E300" s="3">
        <v>42054</v>
      </c>
      <c r="F300">
        <v>14.093914982999999</v>
      </c>
      <c r="G300">
        <v>0.87745919626000002</v>
      </c>
      <c r="H300">
        <v>0.57793805709000001</v>
      </c>
      <c r="I300" t="s">
        <v>25</v>
      </c>
      <c r="J300" t="s">
        <v>36</v>
      </c>
      <c r="R300">
        <v>33899</v>
      </c>
      <c r="S300" s="3">
        <v>42052</v>
      </c>
      <c r="T300">
        <v>16.557124115000001</v>
      </c>
      <c r="U300">
        <v>0.79907768448000005</v>
      </c>
      <c r="V300">
        <v>0.69347239696999996</v>
      </c>
      <c r="W300" t="s">
        <v>25</v>
      </c>
      <c r="X300" t="s">
        <v>36</v>
      </c>
    </row>
    <row r="301" spans="4:24" x14ac:dyDescent="0.25">
      <c r="D301">
        <v>34092</v>
      </c>
      <c r="E301" s="3">
        <v>42054</v>
      </c>
      <c r="F301">
        <v>14.093914982999999</v>
      </c>
      <c r="G301">
        <v>0.87745919626000002</v>
      </c>
      <c r="H301">
        <v>0.57793805709000001</v>
      </c>
      <c r="I301" t="s">
        <v>25</v>
      </c>
      <c r="J301" t="s">
        <v>37</v>
      </c>
      <c r="R301">
        <v>33900</v>
      </c>
      <c r="S301" s="3">
        <v>42052</v>
      </c>
      <c r="T301">
        <v>16.557124115000001</v>
      </c>
      <c r="U301">
        <v>0.79907768448000005</v>
      </c>
      <c r="V301">
        <v>0.69347239696999996</v>
      </c>
      <c r="W301" t="s">
        <v>25</v>
      </c>
      <c r="X301" t="s">
        <v>37</v>
      </c>
    </row>
    <row r="302" spans="4:24" x14ac:dyDescent="0.25">
      <c r="D302">
        <v>34093</v>
      </c>
      <c r="E302" s="3">
        <v>42054</v>
      </c>
      <c r="F302">
        <v>14.603408658999999</v>
      </c>
      <c r="G302">
        <v>0.87921375891999998</v>
      </c>
      <c r="H302">
        <v>0.41256335301000002</v>
      </c>
      <c r="I302" t="s">
        <v>25</v>
      </c>
      <c r="J302" t="s">
        <v>38</v>
      </c>
      <c r="R302">
        <v>33901</v>
      </c>
      <c r="S302" s="3">
        <v>42052</v>
      </c>
      <c r="T302">
        <v>16.144234443999999</v>
      </c>
      <c r="U302">
        <v>0.84725832221999997</v>
      </c>
      <c r="V302">
        <v>0.72717831543</v>
      </c>
      <c r="W302" t="s">
        <v>25</v>
      </c>
      <c r="X302" t="s">
        <v>38</v>
      </c>
    </row>
    <row r="303" spans="4:24" x14ac:dyDescent="0.25">
      <c r="D303">
        <v>34094</v>
      </c>
      <c r="E303" s="3">
        <v>42054</v>
      </c>
      <c r="F303">
        <v>14.603408658999999</v>
      </c>
      <c r="G303">
        <v>0.87921375891999998</v>
      </c>
      <c r="H303">
        <v>0.41256335301000002</v>
      </c>
      <c r="I303" t="s">
        <v>25</v>
      </c>
      <c r="J303" t="s">
        <v>39</v>
      </c>
      <c r="R303">
        <v>33902</v>
      </c>
      <c r="S303" s="3">
        <v>42052</v>
      </c>
      <c r="T303">
        <v>16.144234443999999</v>
      </c>
      <c r="U303">
        <v>0.84725832221999997</v>
      </c>
      <c r="V303">
        <v>0.72717831543</v>
      </c>
      <c r="W303" t="s">
        <v>25</v>
      </c>
      <c r="X303" t="s">
        <v>39</v>
      </c>
    </row>
    <row r="304" spans="4:24" x14ac:dyDescent="0.25">
      <c r="D304">
        <v>34095</v>
      </c>
      <c r="E304" s="3">
        <v>42054</v>
      </c>
      <c r="F304">
        <v>14.603408658999999</v>
      </c>
      <c r="G304">
        <v>0.87921375891999998</v>
      </c>
      <c r="H304">
        <v>0.41256335301000002</v>
      </c>
      <c r="I304" t="s">
        <v>25</v>
      </c>
      <c r="J304" t="s">
        <v>40</v>
      </c>
      <c r="R304">
        <v>33903</v>
      </c>
      <c r="S304" s="3">
        <v>42052</v>
      </c>
      <c r="T304">
        <v>16.144234443999999</v>
      </c>
      <c r="U304">
        <v>0.84725832221999997</v>
      </c>
      <c r="V304">
        <v>0.72717831543</v>
      </c>
      <c r="W304" t="s">
        <v>25</v>
      </c>
      <c r="X304" t="s">
        <v>40</v>
      </c>
    </row>
    <row r="305" spans="4:24" x14ac:dyDescent="0.25">
      <c r="D305">
        <v>34096</v>
      </c>
      <c r="E305" s="3">
        <v>42054</v>
      </c>
      <c r="F305">
        <v>14.603408658999999</v>
      </c>
      <c r="G305">
        <v>0.87921375891999998</v>
      </c>
      <c r="H305">
        <v>0.41256335301000002</v>
      </c>
      <c r="I305" t="s">
        <v>25</v>
      </c>
      <c r="J305" t="s">
        <v>41</v>
      </c>
      <c r="R305">
        <v>33904</v>
      </c>
      <c r="S305" s="3">
        <v>42052</v>
      </c>
      <c r="T305">
        <v>16.144234443999999</v>
      </c>
      <c r="U305">
        <v>0.84725832221999997</v>
      </c>
      <c r="V305">
        <v>0.72717831543</v>
      </c>
      <c r="W305" t="s">
        <v>25</v>
      </c>
      <c r="X305" t="s">
        <v>41</v>
      </c>
    </row>
    <row r="306" spans="4:24" x14ac:dyDescent="0.25">
      <c r="D306">
        <v>34097</v>
      </c>
      <c r="E306" s="3">
        <v>42054</v>
      </c>
      <c r="F306">
        <v>14.238504316</v>
      </c>
      <c r="G306">
        <v>0.87663301051999998</v>
      </c>
      <c r="H306">
        <v>0.47910987352000001</v>
      </c>
      <c r="I306" t="s">
        <v>42</v>
      </c>
      <c r="J306" t="s">
        <v>43</v>
      </c>
      <c r="R306">
        <v>33905</v>
      </c>
      <c r="S306" s="3">
        <v>42052</v>
      </c>
      <c r="T306">
        <v>15.795273572999999</v>
      </c>
      <c r="U306">
        <v>0.86629161149</v>
      </c>
      <c r="V306">
        <v>0.75566307696000001</v>
      </c>
      <c r="W306" t="s">
        <v>42</v>
      </c>
      <c r="X306" t="s">
        <v>43</v>
      </c>
    </row>
    <row r="307" spans="4:24" x14ac:dyDescent="0.25">
      <c r="D307">
        <v>34098</v>
      </c>
      <c r="E307" s="3">
        <v>42054</v>
      </c>
      <c r="F307">
        <v>14.238504316</v>
      </c>
      <c r="G307">
        <v>0.87663301051999998</v>
      </c>
      <c r="H307">
        <v>0.47910987352000001</v>
      </c>
      <c r="I307" t="s">
        <v>42</v>
      </c>
      <c r="J307" t="s">
        <v>44</v>
      </c>
      <c r="R307">
        <v>33906</v>
      </c>
      <c r="S307" s="3">
        <v>42052</v>
      </c>
      <c r="T307">
        <v>15.795273572999999</v>
      </c>
      <c r="U307">
        <v>0.86629161149</v>
      </c>
      <c r="V307">
        <v>0.75566307696000001</v>
      </c>
      <c r="W307" t="s">
        <v>42</v>
      </c>
      <c r="X307" t="s">
        <v>44</v>
      </c>
    </row>
    <row r="308" spans="4:24" x14ac:dyDescent="0.25">
      <c r="D308">
        <v>34099</v>
      </c>
      <c r="E308" s="3">
        <v>42054</v>
      </c>
      <c r="F308">
        <v>14.238504316</v>
      </c>
      <c r="G308">
        <v>0.87663301051999998</v>
      </c>
      <c r="H308">
        <v>0.47910987352000001</v>
      </c>
      <c r="I308" t="s">
        <v>42</v>
      </c>
      <c r="J308" t="s">
        <v>45</v>
      </c>
      <c r="R308">
        <v>33907</v>
      </c>
      <c r="S308" s="3">
        <v>42052</v>
      </c>
      <c r="T308">
        <v>15.795273572999999</v>
      </c>
      <c r="U308">
        <v>0.86629161149</v>
      </c>
      <c r="V308">
        <v>0.75566307696000001</v>
      </c>
      <c r="W308" t="s">
        <v>42</v>
      </c>
      <c r="X308" t="s">
        <v>45</v>
      </c>
    </row>
    <row r="309" spans="4:24" x14ac:dyDescent="0.25">
      <c r="D309">
        <v>34100</v>
      </c>
      <c r="E309" s="3">
        <v>42054</v>
      </c>
      <c r="F309">
        <v>14.238504316</v>
      </c>
      <c r="G309">
        <v>0.87663301051999998</v>
      </c>
      <c r="H309">
        <v>0.47910987352000001</v>
      </c>
      <c r="I309" t="s">
        <v>42</v>
      </c>
      <c r="J309" t="s">
        <v>46</v>
      </c>
      <c r="R309">
        <v>33908</v>
      </c>
      <c r="S309" s="3">
        <v>42052</v>
      </c>
      <c r="T309">
        <v>15.795273572999999</v>
      </c>
      <c r="U309">
        <v>0.86629161149</v>
      </c>
      <c r="V309">
        <v>0.75566307696000001</v>
      </c>
      <c r="W309" t="s">
        <v>42</v>
      </c>
      <c r="X309" t="s">
        <v>46</v>
      </c>
    </row>
    <row r="310" spans="4:24" x14ac:dyDescent="0.25">
      <c r="D310">
        <v>34101</v>
      </c>
      <c r="E310" s="3">
        <v>42054</v>
      </c>
      <c r="F310">
        <v>14.003526619000001</v>
      </c>
      <c r="G310">
        <v>0.85269689802000004</v>
      </c>
      <c r="H310">
        <v>0.58004114852999999</v>
      </c>
      <c r="I310" t="s">
        <v>42</v>
      </c>
      <c r="J310" t="s">
        <v>47</v>
      </c>
      <c r="R310">
        <v>33909</v>
      </c>
      <c r="S310" s="3">
        <v>42052</v>
      </c>
      <c r="T310">
        <v>15.077971509999999</v>
      </c>
      <c r="U310">
        <v>0.87441019391999997</v>
      </c>
      <c r="V310">
        <v>0.76437630400000001</v>
      </c>
      <c r="W310" t="s">
        <v>42</v>
      </c>
      <c r="X310" t="s">
        <v>47</v>
      </c>
    </row>
    <row r="311" spans="4:24" x14ac:dyDescent="0.25">
      <c r="D311">
        <v>34102</v>
      </c>
      <c r="E311" s="3">
        <v>42054</v>
      </c>
      <c r="F311">
        <v>14.003526619000001</v>
      </c>
      <c r="G311">
        <v>0.85269689802000004</v>
      </c>
      <c r="H311">
        <v>0.58004114852999999</v>
      </c>
      <c r="I311" t="s">
        <v>42</v>
      </c>
      <c r="J311" t="s">
        <v>49</v>
      </c>
      <c r="R311">
        <v>33910</v>
      </c>
      <c r="S311" s="3">
        <v>42052</v>
      </c>
      <c r="T311">
        <v>15.077971509999999</v>
      </c>
      <c r="U311">
        <v>0.87441019391999997</v>
      </c>
      <c r="V311">
        <v>0.76437630400000001</v>
      </c>
      <c r="W311" t="s">
        <v>42</v>
      </c>
      <c r="X311" t="s">
        <v>49</v>
      </c>
    </row>
    <row r="312" spans="4:24" x14ac:dyDescent="0.25">
      <c r="D312">
        <v>34103</v>
      </c>
      <c r="E312" s="3">
        <v>42054</v>
      </c>
      <c r="F312">
        <v>14.003526619000001</v>
      </c>
      <c r="G312">
        <v>0.85269689802000004</v>
      </c>
      <c r="H312">
        <v>0.58004114852999999</v>
      </c>
      <c r="I312" t="s">
        <v>42</v>
      </c>
      <c r="J312" t="s">
        <v>50</v>
      </c>
      <c r="R312">
        <v>33911</v>
      </c>
      <c r="S312" s="3">
        <v>42052</v>
      </c>
      <c r="T312">
        <v>15.077971509999999</v>
      </c>
      <c r="U312">
        <v>0.87441019391999997</v>
      </c>
      <c r="V312">
        <v>0.76437630400000001</v>
      </c>
      <c r="W312" t="s">
        <v>42</v>
      </c>
      <c r="X312" t="s">
        <v>50</v>
      </c>
    </row>
    <row r="313" spans="4:24" x14ac:dyDescent="0.25">
      <c r="D313">
        <v>34104</v>
      </c>
      <c r="E313" s="3">
        <v>42054</v>
      </c>
      <c r="F313">
        <v>14.003526619000001</v>
      </c>
      <c r="G313">
        <v>0.85269689802000004</v>
      </c>
      <c r="H313">
        <v>0.58004114852999999</v>
      </c>
      <c r="I313" t="s">
        <v>42</v>
      </c>
      <c r="J313" t="s">
        <v>51</v>
      </c>
      <c r="R313">
        <v>33912</v>
      </c>
      <c r="S313" s="3">
        <v>42052</v>
      </c>
      <c r="T313">
        <v>15.077971509999999</v>
      </c>
      <c r="U313">
        <v>0.87441019391999997</v>
      </c>
      <c r="V313">
        <v>0.76437630400000001</v>
      </c>
      <c r="W313" t="s">
        <v>42</v>
      </c>
      <c r="X313" t="s">
        <v>51</v>
      </c>
    </row>
    <row r="314" spans="4:24" x14ac:dyDescent="0.25">
      <c r="D314">
        <v>34105</v>
      </c>
      <c r="E314" s="3">
        <v>42054</v>
      </c>
      <c r="F314">
        <v>14.267109323</v>
      </c>
      <c r="G314">
        <v>0.84270600359000003</v>
      </c>
      <c r="H314">
        <v>0.76383159176000004</v>
      </c>
      <c r="I314" t="s">
        <v>52</v>
      </c>
      <c r="J314" t="s">
        <v>53</v>
      </c>
      <c r="R314">
        <v>33913</v>
      </c>
      <c r="S314" s="3">
        <v>42052</v>
      </c>
      <c r="T314">
        <v>14.565013511</v>
      </c>
      <c r="U314">
        <v>0.87861980842999998</v>
      </c>
      <c r="V314">
        <v>0.90189065974000004</v>
      </c>
      <c r="W314" t="s">
        <v>52</v>
      </c>
      <c r="X314" t="s">
        <v>53</v>
      </c>
    </row>
    <row r="315" spans="4:24" x14ac:dyDescent="0.25">
      <c r="D315">
        <v>34106</v>
      </c>
      <c r="E315" s="3">
        <v>42054</v>
      </c>
      <c r="F315">
        <v>14.267109323</v>
      </c>
      <c r="G315">
        <v>0.84270600359000003</v>
      </c>
      <c r="H315">
        <v>0.76383159176000004</v>
      </c>
      <c r="I315" t="s">
        <v>52</v>
      </c>
      <c r="J315" t="s">
        <v>54</v>
      </c>
      <c r="R315">
        <v>33914</v>
      </c>
      <c r="S315" s="3">
        <v>42052</v>
      </c>
      <c r="T315">
        <v>14.565013511</v>
      </c>
      <c r="U315">
        <v>0.87861980842999998</v>
      </c>
      <c r="V315">
        <v>0.90189065974000004</v>
      </c>
      <c r="W315" t="s">
        <v>52</v>
      </c>
      <c r="X315" t="s">
        <v>54</v>
      </c>
    </row>
    <row r="316" spans="4:24" x14ac:dyDescent="0.25">
      <c r="D316">
        <v>34107</v>
      </c>
      <c r="E316" s="3">
        <v>42054</v>
      </c>
      <c r="F316">
        <v>14.267109323</v>
      </c>
      <c r="G316">
        <v>0.84270600359000003</v>
      </c>
      <c r="H316">
        <v>0.76383159176000004</v>
      </c>
      <c r="I316" t="s">
        <v>52</v>
      </c>
      <c r="J316" t="s">
        <v>55</v>
      </c>
      <c r="R316">
        <v>33915</v>
      </c>
      <c r="S316" s="3">
        <v>42052</v>
      </c>
      <c r="T316">
        <v>14.565013511</v>
      </c>
      <c r="U316">
        <v>0.87861980842999998</v>
      </c>
      <c r="V316">
        <v>0.90189065974000004</v>
      </c>
      <c r="W316" t="s">
        <v>52</v>
      </c>
      <c r="X316" t="s">
        <v>55</v>
      </c>
    </row>
    <row r="317" spans="4:24" x14ac:dyDescent="0.25">
      <c r="D317">
        <v>34108</v>
      </c>
      <c r="E317" s="3">
        <v>42054</v>
      </c>
      <c r="F317">
        <v>14.267109323</v>
      </c>
      <c r="G317">
        <v>0.84270600359000003</v>
      </c>
      <c r="H317">
        <v>0.76383159176000004</v>
      </c>
      <c r="I317" t="s">
        <v>52</v>
      </c>
      <c r="J317" t="s">
        <v>56</v>
      </c>
      <c r="R317">
        <v>33916</v>
      </c>
      <c r="S317" s="3">
        <v>42052</v>
      </c>
      <c r="T317">
        <v>14.565013511</v>
      </c>
      <c r="U317">
        <v>0.87861980842999998</v>
      </c>
      <c r="V317">
        <v>0.90189065974000004</v>
      </c>
      <c r="W317" t="s">
        <v>52</v>
      </c>
      <c r="X317" t="s">
        <v>56</v>
      </c>
    </row>
    <row r="318" spans="4:24" x14ac:dyDescent="0.25">
      <c r="D318">
        <v>34109</v>
      </c>
      <c r="E318" s="3">
        <v>42054</v>
      </c>
      <c r="F318">
        <v>16.212880878</v>
      </c>
      <c r="G318">
        <v>0.83442306098999997</v>
      </c>
      <c r="H318">
        <v>0.84401915954999995</v>
      </c>
      <c r="I318" t="s">
        <v>52</v>
      </c>
      <c r="J318" t="s">
        <v>57</v>
      </c>
      <c r="R318">
        <v>33917</v>
      </c>
      <c r="S318" s="3">
        <v>42052</v>
      </c>
      <c r="T318">
        <v>17.799991205000001</v>
      </c>
      <c r="U318">
        <v>0.81088405564999999</v>
      </c>
      <c r="V318">
        <v>0.69409763739999997</v>
      </c>
      <c r="W318" t="s">
        <v>52</v>
      </c>
      <c r="X318" t="s">
        <v>57</v>
      </c>
    </row>
    <row r="319" spans="4:24" x14ac:dyDescent="0.25">
      <c r="D319">
        <v>34110</v>
      </c>
      <c r="E319" s="3">
        <v>42054</v>
      </c>
      <c r="F319">
        <v>16.212880878</v>
      </c>
      <c r="G319">
        <v>0.83442306098999997</v>
      </c>
      <c r="H319">
        <v>0.84401915954999995</v>
      </c>
      <c r="I319" t="s">
        <v>52</v>
      </c>
      <c r="J319" t="s">
        <v>58</v>
      </c>
      <c r="R319">
        <v>33918</v>
      </c>
      <c r="S319" s="3">
        <v>42052</v>
      </c>
      <c r="T319">
        <v>17.799991205000001</v>
      </c>
      <c r="U319">
        <v>0.81088405564999999</v>
      </c>
      <c r="V319">
        <v>0.69409763739999997</v>
      </c>
      <c r="W319" t="s">
        <v>52</v>
      </c>
      <c r="X319" t="s">
        <v>58</v>
      </c>
    </row>
    <row r="320" spans="4:24" x14ac:dyDescent="0.25">
      <c r="D320">
        <v>34111</v>
      </c>
      <c r="E320" s="3">
        <v>42054</v>
      </c>
      <c r="F320">
        <v>16.212880878</v>
      </c>
      <c r="G320">
        <v>0.83442306098999997</v>
      </c>
      <c r="H320">
        <v>0.84401915954999995</v>
      </c>
      <c r="I320" t="s">
        <v>52</v>
      </c>
      <c r="J320" t="s">
        <v>59</v>
      </c>
      <c r="R320">
        <v>33919</v>
      </c>
      <c r="S320" s="3">
        <v>42052</v>
      </c>
      <c r="T320">
        <v>17.799991205000001</v>
      </c>
      <c r="U320">
        <v>0.81088405564999999</v>
      </c>
      <c r="V320">
        <v>0.69409763739999997</v>
      </c>
      <c r="W320" t="s">
        <v>52</v>
      </c>
      <c r="X320" t="s">
        <v>59</v>
      </c>
    </row>
    <row r="321" spans="4:24" x14ac:dyDescent="0.25">
      <c r="D321">
        <v>34112</v>
      </c>
      <c r="E321" s="3">
        <v>42054</v>
      </c>
      <c r="F321">
        <v>16.212880878</v>
      </c>
      <c r="G321">
        <v>0.83442306098999997</v>
      </c>
      <c r="H321">
        <v>0.84401915954999995</v>
      </c>
      <c r="I321" t="s">
        <v>52</v>
      </c>
      <c r="J321" t="s">
        <v>60</v>
      </c>
      <c r="R321">
        <v>33920</v>
      </c>
      <c r="S321" s="3">
        <v>42052</v>
      </c>
      <c r="T321">
        <v>17.799991205000001</v>
      </c>
      <c r="U321">
        <v>0.81088405564999999</v>
      </c>
      <c r="V321">
        <v>0.69409763739999997</v>
      </c>
      <c r="W321" t="s">
        <v>52</v>
      </c>
      <c r="X321" t="s">
        <v>60</v>
      </c>
    </row>
    <row r="322" spans="4:24" x14ac:dyDescent="0.25">
      <c r="D322">
        <v>34113</v>
      </c>
      <c r="E322" s="3">
        <v>42054</v>
      </c>
      <c r="F322">
        <v>17.30207824</v>
      </c>
      <c r="G322">
        <v>0.78706787245999998</v>
      </c>
      <c r="H322">
        <v>0.83400215170000003</v>
      </c>
      <c r="I322" t="s">
        <v>61</v>
      </c>
      <c r="J322" t="s">
        <v>62</v>
      </c>
      <c r="R322">
        <v>33921</v>
      </c>
      <c r="S322" s="3">
        <v>42052</v>
      </c>
      <c r="T322">
        <v>18.799991204000001</v>
      </c>
      <c r="U322">
        <v>0.76937180152999995</v>
      </c>
      <c r="V322">
        <v>0.60158733566</v>
      </c>
      <c r="W322" t="s">
        <v>61</v>
      </c>
      <c r="X322" t="s">
        <v>62</v>
      </c>
    </row>
    <row r="323" spans="4:24" x14ac:dyDescent="0.25">
      <c r="D323">
        <v>34114</v>
      </c>
      <c r="E323" s="3">
        <v>42054</v>
      </c>
      <c r="F323">
        <v>17.30207824</v>
      </c>
      <c r="G323">
        <v>0.78706787245999998</v>
      </c>
      <c r="H323">
        <v>0.83400215170000003</v>
      </c>
      <c r="I323" t="s">
        <v>61</v>
      </c>
      <c r="J323" t="s">
        <v>63</v>
      </c>
      <c r="R323">
        <v>33922</v>
      </c>
      <c r="S323" s="3">
        <v>42052</v>
      </c>
      <c r="T323">
        <v>18.799991204000001</v>
      </c>
      <c r="U323">
        <v>0.76937180152999995</v>
      </c>
      <c r="V323">
        <v>0.60158733566</v>
      </c>
      <c r="W323" t="s">
        <v>61</v>
      </c>
      <c r="X323" t="s">
        <v>63</v>
      </c>
    </row>
    <row r="324" spans="4:24" x14ac:dyDescent="0.25">
      <c r="D324">
        <v>34115</v>
      </c>
      <c r="E324" s="3">
        <v>42054</v>
      </c>
      <c r="F324">
        <v>17.30207824</v>
      </c>
      <c r="G324">
        <v>0.78706787245999998</v>
      </c>
      <c r="H324">
        <v>0.83400215170000003</v>
      </c>
      <c r="I324" t="s">
        <v>61</v>
      </c>
      <c r="J324" t="s">
        <v>64</v>
      </c>
      <c r="R324">
        <v>33923</v>
      </c>
      <c r="S324" s="3">
        <v>42052</v>
      </c>
      <c r="T324">
        <v>18.799991204000001</v>
      </c>
      <c r="U324">
        <v>0.76937180152999995</v>
      </c>
      <c r="V324">
        <v>0.60158733566</v>
      </c>
      <c r="W324" t="s">
        <v>61</v>
      </c>
      <c r="X324" t="s">
        <v>64</v>
      </c>
    </row>
    <row r="325" spans="4:24" x14ac:dyDescent="0.25">
      <c r="D325">
        <v>34116</v>
      </c>
      <c r="E325" s="3">
        <v>42054</v>
      </c>
      <c r="F325">
        <v>17.30207824</v>
      </c>
      <c r="G325">
        <v>0.78706787245999998</v>
      </c>
      <c r="H325">
        <v>0.83400215170000003</v>
      </c>
      <c r="I325" t="s">
        <v>61</v>
      </c>
      <c r="J325" t="s">
        <v>65</v>
      </c>
      <c r="R325">
        <v>33924</v>
      </c>
      <c r="S325" s="3">
        <v>42052</v>
      </c>
      <c r="T325">
        <v>18.799991204000001</v>
      </c>
      <c r="U325">
        <v>0.76937180152999995</v>
      </c>
      <c r="V325">
        <v>0.60158733566</v>
      </c>
      <c r="W325" t="s">
        <v>61</v>
      </c>
      <c r="X325" t="s">
        <v>65</v>
      </c>
    </row>
    <row r="326" spans="4:24" x14ac:dyDescent="0.25">
      <c r="D326">
        <v>34117</v>
      </c>
      <c r="E326" s="3">
        <v>42054</v>
      </c>
      <c r="F326">
        <v>18.703742072000001</v>
      </c>
      <c r="G326">
        <v>0.74636705119000002</v>
      </c>
      <c r="H326">
        <v>0.82784234745999996</v>
      </c>
      <c r="I326" t="s">
        <v>66</v>
      </c>
      <c r="J326" t="s">
        <v>67</v>
      </c>
      <c r="R326">
        <v>33925</v>
      </c>
      <c r="S326" s="3">
        <v>42052</v>
      </c>
      <c r="T326">
        <v>19.855865925</v>
      </c>
      <c r="U326">
        <v>0.72897248907000001</v>
      </c>
      <c r="V326">
        <v>0.51065939046999997</v>
      </c>
      <c r="W326" t="s">
        <v>66</v>
      </c>
      <c r="X326" t="s">
        <v>67</v>
      </c>
    </row>
    <row r="327" spans="4:24" x14ac:dyDescent="0.25">
      <c r="D327">
        <v>34118</v>
      </c>
      <c r="E327" s="3">
        <v>42054</v>
      </c>
      <c r="F327">
        <v>18.703742072000001</v>
      </c>
      <c r="G327">
        <v>0.74636705119000002</v>
      </c>
      <c r="H327">
        <v>0.82784234745999996</v>
      </c>
      <c r="I327" t="s">
        <v>66</v>
      </c>
      <c r="J327" t="s">
        <v>68</v>
      </c>
      <c r="R327">
        <v>33926</v>
      </c>
      <c r="S327" s="3">
        <v>42052</v>
      </c>
      <c r="T327">
        <v>19.855865925</v>
      </c>
      <c r="U327">
        <v>0.72897248907000001</v>
      </c>
      <c r="V327">
        <v>0.51065939046999997</v>
      </c>
      <c r="W327" t="s">
        <v>66</v>
      </c>
      <c r="X327" t="s">
        <v>68</v>
      </c>
    </row>
    <row r="328" spans="4:24" x14ac:dyDescent="0.25">
      <c r="D328">
        <v>34119</v>
      </c>
      <c r="E328" s="3">
        <v>42054</v>
      </c>
      <c r="F328">
        <v>18.703742072000001</v>
      </c>
      <c r="G328">
        <v>0.74636705119000002</v>
      </c>
      <c r="H328">
        <v>0.82784234745999996</v>
      </c>
      <c r="I328" t="s">
        <v>66</v>
      </c>
      <c r="J328" t="s">
        <v>69</v>
      </c>
      <c r="R328">
        <v>33927</v>
      </c>
      <c r="S328" s="3">
        <v>42052</v>
      </c>
      <c r="T328">
        <v>19.855865925</v>
      </c>
      <c r="U328">
        <v>0.72897248907000001</v>
      </c>
      <c r="V328">
        <v>0.51065939046999997</v>
      </c>
      <c r="W328" t="s">
        <v>66</v>
      </c>
      <c r="X328" t="s">
        <v>69</v>
      </c>
    </row>
    <row r="329" spans="4:24" x14ac:dyDescent="0.25">
      <c r="D329">
        <v>34120</v>
      </c>
      <c r="E329" s="3">
        <v>42054</v>
      </c>
      <c r="F329">
        <v>18.703742072000001</v>
      </c>
      <c r="G329">
        <v>0.74636705119000002</v>
      </c>
      <c r="H329">
        <v>0.82784234745999996</v>
      </c>
      <c r="I329" t="s">
        <v>66</v>
      </c>
      <c r="J329" t="s">
        <v>70</v>
      </c>
      <c r="R329">
        <v>33928</v>
      </c>
      <c r="S329" s="3">
        <v>42052</v>
      </c>
      <c r="T329">
        <v>19.855865925</v>
      </c>
      <c r="U329">
        <v>0.72897248907000001</v>
      </c>
      <c r="V329">
        <v>0.51065939046999997</v>
      </c>
      <c r="W329" t="s">
        <v>66</v>
      </c>
      <c r="X329" t="s">
        <v>70</v>
      </c>
    </row>
    <row r="330" spans="4:24" x14ac:dyDescent="0.25">
      <c r="D330">
        <v>34121</v>
      </c>
      <c r="E330" s="3">
        <v>42054</v>
      </c>
      <c r="F330">
        <v>19.538846504999999</v>
      </c>
      <c r="G330">
        <v>0.70231869530000002</v>
      </c>
      <c r="H330">
        <v>0.81782533961000003</v>
      </c>
      <c r="I330" t="s">
        <v>71</v>
      </c>
      <c r="J330" t="s">
        <v>72</v>
      </c>
      <c r="R330">
        <v>33929</v>
      </c>
      <c r="S330" s="3">
        <v>42052</v>
      </c>
      <c r="T330">
        <v>20.684462153999998</v>
      </c>
      <c r="U330">
        <v>0.69574619723999998</v>
      </c>
      <c r="V330">
        <v>0.50805337914000004</v>
      </c>
      <c r="W330" t="s">
        <v>71</v>
      </c>
      <c r="X330" t="s">
        <v>72</v>
      </c>
    </row>
    <row r="331" spans="4:24" x14ac:dyDescent="0.25">
      <c r="D331">
        <v>34122</v>
      </c>
      <c r="E331" s="3">
        <v>42054</v>
      </c>
      <c r="F331">
        <v>19.538846504999999</v>
      </c>
      <c r="G331">
        <v>0.70231869530000002</v>
      </c>
      <c r="H331">
        <v>0.81782533961000003</v>
      </c>
      <c r="I331" t="s">
        <v>71</v>
      </c>
      <c r="J331" t="s">
        <v>73</v>
      </c>
      <c r="R331">
        <v>33930</v>
      </c>
      <c r="S331" s="3">
        <v>42052</v>
      </c>
      <c r="T331">
        <v>20.684462153999998</v>
      </c>
      <c r="U331">
        <v>0.69574619723999998</v>
      </c>
      <c r="V331">
        <v>0.50805337914000004</v>
      </c>
      <c r="W331" t="s">
        <v>71</v>
      </c>
      <c r="X331" t="s">
        <v>73</v>
      </c>
    </row>
    <row r="332" spans="4:24" x14ac:dyDescent="0.25">
      <c r="D332">
        <v>34123</v>
      </c>
      <c r="E332" s="3">
        <v>42054</v>
      </c>
      <c r="F332">
        <v>19.538846504999999</v>
      </c>
      <c r="G332">
        <v>0.70231869530000002</v>
      </c>
      <c r="H332">
        <v>0.81782533961000003</v>
      </c>
      <c r="I332" t="s">
        <v>71</v>
      </c>
      <c r="J332" t="s">
        <v>74</v>
      </c>
      <c r="R332">
        <v>33931</v>
      </c>
      <c r="S332" s="3">
        <v>42052</v>
      </c>
      <c r="T332">
        <v>20.684462153999998</v>
      </c>
      <c r="U332">
        <v>0.69574619723999998</v>
      </c>
      <c r="V332">
        <v>0.50805337914000004</v>
      </c>
      <c r="W332" t="s">
        <v>71</v>
      </c>
      <c r="X332" t="s">
        <v>74</v>
      </c>
    </row>
    <row r="333" spans="4:24" x14ac:dyDescent="0.25">
      <c r="D333">
        <v>34124</v>
      </c>
      <c r="E333" s="3">
        <v>42054</v>
      </c>
      <c r="F333">
        <v>19.538846504999999</v>
      </c>
      <c r="G333">
        <v>0.70231869530000002</v>
      </c>
      <c r="H333">
        <v>0.81782533961000003</v>
      </c>
      <c r="I333" t="s">
        <v>71</v>
      </c>
      <c r="J333" t="s">
        <v>75</v>
      </c>
      <c r="R333">
        <v>33932</v>
      </c>
      <c r="S333" s="3">
        <v>42052</v>
      </c>
      <c r="T333">
        <v>20.684462153999998</v>
      </c>
      <c r="U333">
        <v>0.69574619723999998</v>
      </c>
      <c r="V333">
        <v>0.50805337914000004</v>
      </c>
      <c r="W333" t="s">
        <v>71</v>
      </c>
      <c r="X333" t="s">
        <v>75</v>
      </c>
    </row>
    <row r="334" spans="4:24" x14ac:dyDescent="0.25">
      <c r="D334">
        <v>34125</v>
      </c>
      <c r="E334" s="3">
        <v>42054</v>
      </c>
      <c r="F334">
        <v>20.788221798999999</v>
      </c>
      <c r="G334">
        <v>0.66091454270000005</v>
      </c>
      <c r="H334">
        <v>0.81011093238999998</v>
      </c>
      <c r="I334" t="s">
        <v>71</v>
      </c>
      <c r="J334" t="s">
        <v>76</v>
      </c>
      <c r="R334">
        <v>33933</v>
      </c>
      <c r="S334" s="3">
        <v>42052</v>
      </c>
      <c r="T334">
        <v>21.773659515999999</v>
      </c>
      <c r="U334">
        <v>0.66906201429000001</v>
      </c>
      <c r="V334">
        <v>0.50805337914000004</v>
      </c>
      <c r="W334" t="s">
        <v>71</v>
      </c>
      <c r="X334" t="s">
        <v>76</v>
      </c>
    </row>
    <row r="335" spans="4:24" x14ac:dyDescent="0.25">
      <c r="D335">
        <v>34126</v>
      </c>
      <c r="E335" s="3">
        <v>42054</v>
      </c>
      <c r="F335">
        <v>20.788221798999999</v>
      </c>
      <c r="G335">
        <v>0.66091454270000005</v>
      </c>
      <c r="H335">
        <v>0.81011093238999998</v>
      </c>
      <c r="I335" t="s">
        <v>71</v>
      </c>
      <c r="J335" t="s">
        <v>77</v>
      </c>
      <c r="R335">
        <v>33934</v>
      </c>
      <c r="S335" s="3">
        <v>42052</v>
      </c>
      <c r="T335">
        <v>21.773659515999999</v>
      </c>
      <c r="U335">
        <v>0.66906201429000001</v>
      </c>
      <c r="V335">
        <v>0.50805337914000004</v>
      </c>
      <c r="W335" t="s">
        <v>71</v>
      </c>
      <c r="X335" t="s">
        <v>77</v>
      </c>
    </row>
    <row r="336" spans="4:24" x14ac:dyDescent="0.25">
      <c r="D336">
        <v>34127</v>
      </c>
      <c r="E336" s="3">
        <v>42054</v>
      </c>
      <c r="F336">
        <v>20.788221798999999</v>
      </c>
      <c r="G336">
        <v>0.66091454270000005</v>
      </c>
      <c r="H336">
        <v>0.81011093238999998</v>
      </c>
      <c r="I336" t="s">
        <v>71</v>
      </c>
      <c r="J336" t="s">
        <v>78</v>
      </c>
      <c r="R336">
        <v>33935</v>
      </c>
      <c r="S336" s="3">
        <v>42052</v>
      </c>
      <c r="T336">
        <v>21.773659515999999</v>
      </c>
      <c r="U336">
        <v>0.66906201429000001</v>
      </c>
      <c r="V336">
        <v>0.50805337914000004</v>
      </c>
      <c r="W336" t="s">
        <v>71</v>
      </c>
      <c r="X336" t="s">
        <v>78</v>
      </c>
    </row>
    <row r="337" spans="4:24" x14ac:dyDescent="0.25">
      <c r="D337">
        <v>34128</v>
      </c>
      <c r="E337" s="3">
        <v>42054</v>
      </c>
      <c r="F337">
        <v>20.788221798999999</v>
      </c>
      <c r="G337">
        <v>0.66091454270000005</v>
      </c>
      <c r="H337">
        <v>0.81011093238999998</v>
      </c>
      <c r="I337" t="s">
        <v>71</v>
      </c>
      <c r="J337" t="s">
        <v>79</v>
      </c>
      <c r="R337">
        <v>33936</v>
      </c>
      <c r="S337" s="3">
        <v>42052</v>
      </c>
      <c r="T337">
        <v>21.773659515999999</v>
      </c>
      <c r="U337">
        <v>0.66906201429000001</v>
      </c>
      <c r="V337">
        <v>0.50805337914000004</v>
      </c>
      <c r="W337" t="s">
        <v>71</v>
      </c>
      <c r="X337" t="s">
        <v>79</v>
      </c>
    </row>
    <row r="338" spans="4:24" x14ac:dyDescent="0.25">
      <c r="D338">
        <v>34129</v>
      </c>
      <c r="E338" s="3">
        <v>42054</v>
      </c>
      <c r="F338">
        <v>22.175222944000001</v>
      </c>
      <c r="G338">
        <v>0.57276762295000005</v>
      </c>
      <c r="H338">
        <v>0.80075655389</v>
      </c>
      <c r="I338" t="s">
        <v>80</v>
      </c>
      <c r="J338" t="s">
        <v>81</v>
      </c>
      <c r="R338">
        <v>33937</v>
      </c>
      <c r="S338" s="3">
        <v>42052</v>
      </c>
      <c r="T338">
        <v>22.973668291999999</v>
      </c>
      <c r="U338">
        <v>0.56331100915999999</v>
      </c>
      <c r="V338">
        <v>0.50805337914000004</v>
      </c>
      <c r="W338" t="s">
        <v>80</v>
      </c>
      <c r="X338" t="s">
        <v>81</v>
      </c>
    </row>
    <row r="339" spans="4:24" x14ac:dyDescent="0.25">
      <c r="D339">
        <v>34130</v>
      </c>
      <c r="E339" s="3">
        <v>42054</v>
      </c>
      <c r="F339">
        <v>22.175222944000001</v>
      </c>
      <c r="G339">
        <v>0.57276762295000005</v>
      </c>
      <c r="H339">
        <v>0.80075655389</v>
      </c>
      <c r="I339" t="s">
        <v>80</v>
      </c>
      <c r="J339" t="s">
        <v>82</v>
      </c>
      <c r="R339">
        <v>33938</v>
      </c>
      <c r="S339" s="3">
        <v>42052</v>
      </c>
      <c r="T339">
        <v>22.973668291999999</v>
      </c>
      <c r="U339">
        <v>0.56331100915999999</v>
      </c>
      <c r="V339">
        <v>0.50805337914000004</v>
      </c>
      <c r="W339" t="s">
        <v>80</v>
      </c>
      <c r="X339" t="s">
        <v>82</v>
      </c>
    </row>
    <row r="340" spans="4:24" x14ac:dyDescent="0.25">
      <c r="D340">
        <v>34131</v>
      </c>
      <c r="E340" s="3">
        <v>42054</v>
      </c>
      <c r="F340">
        <v>22.175222944000001</v>
      </c>
      <c r="G340">
        <v>0.57276762295000005</v>
      </c>
      <c r="H340">
        <v>0.80075655389</v>
      </c>
      <c r="I340" t="s">
        <v>80</v>
      </c>
      <c r="J340" t="s">
        <v>83</v>
      </c>
      <c r="R340">
        <v>33939</v>
      </c>
      <c r="S340" s="3">
        <v>42052</v>
      </c>
      <c r="T340">
        <v>22.973668291999999</v>
      </c>
      <c r="U340">
        <v>0.56331100915999999</v>
      </c>
      <c r="V340">
        <v>0.50805337914000004</v>
      </c>
      <c r="W340" t="s">
        <v>80</v>
      </c>
      <c r="X340" t="s">
        <v>83</v>
      </c>
    </row>
    <row r="341" spans="4:24" x14ac:dyDescent="0.25">
      <c r="D341">
        <v>34132</v>
      </c>
      <c r="E341" s="3">
        <v>42054</v>
      </c>
      <c r="F341">
        <v>22.175222944000001</v>
      </c>
      <c r="G341">
        <v>0.57276762295000005</v>
      </c>
      <c r="H341">
        <v>0.80075655389</v>
      </c>
      <c r="I341" t="s">
        <v>80</v>
      </c>
      <c r="J341" t="s">
        <v>84</v>
      </c>
      <c r="R341">
        <v>33940</v>
      </c>
      <c r="S341" s="3">
        <v>42052</v>
      </c>
      <c r="T341">
        <v>22.973668291999999</v>
      </c>
      <c r="U341">
        <v>0.56331100915999999</v>
      </c>
      <c r="V341">
        <v>0.50805337914000004</v>
      </c>
      <c r="W341" t="s">
        <v>80</v>
      </c>
      <c r="X341" t="s">
        <v>84</v>
      </c>
    </row>
    <row r="342" spans="4:24" x14ac:dyDescent="0.25">
      <c r="D342">
        <v>34133</v>
      </c>
      <c r="E342" s="3">
        <v>42054</v>
      </c>
      <c r="F342">
        <v>22.695587584999998</v>
      </c>
      <c r="G342">
        <v>0.52375388624999997</v>
      </c>
      <c r="H342">
        <v>0.82357881192000004</v>
      </c>
      <c r="I342" t="s">
        <v>80</v>
      </c>
      <c r="J342" t="s">
        <v>85</v>
      </c>
      <c r="R342">
        <v>33941</v>
      </c>
      <c r="S342" s="3">
        <v>42052</v>
      </c>
      <c r="T342">
        <v>23.493134495</v>
      </c>
      <c r="U342">
        <v>0.56325215514000004</v>
      </c>
      <c r="V342">
        <v>0.38631815081999998</v>
      </c>
      <c r="W342" t="s">
        <v>80</v>
      </c>
      <c r="X342" t="s">
        <v>85</v>
      </c>
    </row>
    <row r="343" spans="4:24" x14ac:dyDescent="0.25">
      <c r="D343">
        <v>34134</v>
      </c>
      <c r="E343" s="3">
        <v>42054</v>
      </c>
      <c r="F343">
        <v>22.695587584999998</v>
      </c>
      <c r="G343">
        <v>0.52375388624999997</v>
      </c>
      <c r="H343">
        <v>0.82357881192000004</v>
      </c>
      <c r="I343" t="s">
        <v>80</v>
      </c>
      <c r="J343" t="s">
        <v>86</v>
      </c>
      <c r="R343">
        <v>33942</v>
      </c>
      <c r="S343" s="3">
        <v>42052</v>
      </c>
      <c r="T343">
        <v>23.493134495</v>
      </c>
      <c r="U343">
        <v>0.56325215514000004</v>
      </c>
      <c r="V343">
        <v>0.38631815081999998</v>
      </c>
      <c r="W343" t="s">
        <v>80</v>
      </c>
      <c r="X343" t="s">
        <v>86</v>
      </c>
    </row>
    <row r="344" spans="4:24" x14ac:dyDescent="0.25">
      <c r="D344">
        <v>34135</v>
      </c>
      <c r="E344" s="3">
        <v>42054</v>
      </c>
      <c r="F344">
        <v>22.695587584999998</v>
      </c>
      <c r="G344">
        <v>0.52375388624999997</v>
      </c>
      <c r="H344">
        <v>0.82357881192000004</v>
      </c>
      <c r="I344" t="s">
        <v>80</v>
      </c>
      <c r="J344" t="s">
        <v>87</v>
      </c>
      <c r="R344">
        <v>33943</v>
      </c>
      <c r="S344" s="3">
        <v>42052</v>
      </c>
      <c r="T344">
        <v>23.493134495</v>
      </c>
      <c r="U344">
        <v>0.56325215514000004</v>
      </c>
      <c r="V344">
        <v>0.38631815081999998</v>
      </c>
      <c r="W344" t="s">
        <v>80</v>
      </c>
      <c r="X344" t="s">
        <v>87</v>
      </c>
    </row>
    <row r="345" spans="4:24" x14ac:dyDescent="0.25">
      <c r="D345">
        <v>34136</v>
      </c>
      <c r="E345" s="3">
        <v>42054</v>
      </c>
      <c r="F345">
        <v>22.695587584999998</v>
      </c>
      <c r="G345">
        <v>0.52375388624999997</v>
      </c>
      <c r="H345">
        <v>0.82357881192000004</v>
      </c>
      <c r="I345" t="s">
        <v>80</v>
      </c>
      <c r="J345" t="s">
        <v>88</v>
      </c>
      <c r="R345">
        <v>33944</v>
      </c>
      <c r="S345" s="3">
        <v>42052</v>
      </c>
      <c r="T345">
        <v>23.493134495</v>
      </c>
      <c r="U345">
        <v>0.56325215514000004</v>
      </c>
      <c r="V345">
        <v>0.38631815081999998</v>
      </c>
      <c r="W345" t="s">
        <v>80</v>
      </c>
      <c r="X345" t="s">
        <v>88</v>
      </c>
    </row>
    <row r="346" spans="4:24" x14ac:dyDescent="0.25">
      <c r="D346">
        <v>34137</v>
      </c>
      <c r="E346" s="3">
        <v>42054</v>
      </c>
      <c r="F346">
        <v>23.203827950000001</v>
      </c>
      <c r="G346">
        <v>0.53850684453999997</v>
      </c>
      <c r="H346">
        <v>0.83589842039999995</v>
      </c>
      <c r="I346" t="s">
        <v>89</v>
      </c>
      <c r="J346" t="s">
        <v>90</v>
      </c>
      <c r="R346">
        <v>33945</v>
      </c>
      <c r="S346" s="3">
        <v>42052</v>
      </c>
      <c r="T346">
        <v>24.262874431</v>
      </c>
      <c r="U346">
        <v>0.53974708771000002</v>
      </c>
      <c r="V346">
        <v>0.44238042702000002</v>
      </c>
      <c r="W346" t="s">
        <v>89</v>
      </c>
      <c r="X346" t="s">
        <v>90</v>
      </c>
    </row>
    <row r="347" spans="4:24" x14ac:dyDescent="0.25">
      <c r="D347">
        <v>34138</v>
      </c>
      <c r="E347" s="3">
        <v>42054</v>
      </c>
      <c r="F347">
        <v>23.203827950000001</v>
      </c>
      <c r="G347">
        <v>0.53850684453999997</v>
      </c>
      <c r="H347">
        <v>0.83589842039999995</v>
      </c>
      <c r="I347" t="s">
        <v>89</v>
      </c>
      <c r="J347" t="s">
        <v>91</v>
      </c>
      <c r="R347">
        <v>33946</v>
      </c>
      <c r="S347" s="3">
        <v>42052</v>
      </c>
      <c r="T347">
        <v>24.262874431</v>
      </c>
      <c r="U347">
        <v>0.53974708771000002</v>
      </c>
      <c r="V347">
        <v>0.44238042702000002</v>
      </c>
      <c r="W347" t="s">
        <v>89</v>
      </c>
      <c r="X347" t="s">
        <v>91</v>
      </c>
    </row>
    <row r="348" spans="4:24" x14ac:dyDescent="0.25">
      <c r="D348">
        <v>34139</v>
      </c>
      <c r="E348" s="3">
        <v>42054</v>
      </c>
      <c r="F348">
        <v>23.203827950000001</v>
      </c>
      <c r="G348">
        <v>0.53850684453999997</v>
      </c>
      <c r="H348">
        <v>0.83589842039999995</v>
      </c>
      <c r="I348" t="s">
        <v>89</v>
      </c>
      <c r="J348" t="s">
        <v>92</v>
      </c>
      <c r="R348">
        <v>33947</v>
      </c>
      <c r="S348" s="3">
        <v>42052</v>
      </c>
      <c r="T348">
        <v>24.262874431</v>
      </c>
      <c r="U348">
        <v>0.53974708771000002</v>
      </c>
      <c r="V348">
        <v>0.44238042702000002</v>
      </c>
      <c r="W348" t="s">
        <v>89</v>
      </c>
      <c r="X348" t="s">
        <v>92</v>
      </c>
    </row>
    <row r="349" spans="4:24" x14ac:dyDescent="0.25">
      <c r="D349">
        <v>34140</v>
      </c>
      <c r="E349" s="3">
        <v>42054</v>
      </c>
      <c r="F349">
        <v>23.203827950000001</v>
      </c>
      <c r="G349">
        <v>0.53850684453999997</v>
      </c>
      <c r="H349">
        <v>0.83589842039999995</v>
      </c>
      <c r="I349" t="s">
        <v>89</v>
      </c>
      <c r="J349" t="s">
        <v>93</v>
      </c>
      <c r="R349">
        <v>33948</v>
      </c>
      <c r="S349" s="3">
        <v>42052</v>
      </c>
      <c r="T349">
        <v>24.262874431</v>
      </c>
      <c r="U349">
        <v>0.53974708771000002</v>
      </c>
      <c r="V349">
        <v>0.44238042702000002</v>
      </c>
      <c r="W349" t="s">
        <v>89</v>
      </c>
      <c r="X349" t="s">
        <v>93</v>
      </c>
    </row>
    <row r="350" spans="4:24" x14ac:dyDescent="0.25">
      <c r="D350">
        <v>34141</v>
      </c>
      <c r="E350" s="3">
        <v>42054</v>
      </c>
      <c r="F350">
        <v>23.222943182000002</v>
      </c>
      <c r="G350">
        <v>0.56057756267000003</v>
      </c>
      <c r="H350">
        <v>0.68995049658999996</v>
      </c>
      <c r="I350" t="s">
        <v>89</v>
      </c>
      <c r="J350" t="s">
        <v>94</v>
      </c>
      <c r="R350">
        <v>33949</v>
      </c>
      <c r="S350" s="3">
        <v>42052</v>
      </c>
      <c r="T350">
        <v>23.929019406999998</v>
      </c>
      <c r="U350">
        <v>0.53772800744000004</v>
      </c>
      <c r="V350">
        <v>0.32762529316</v>
      </c>
      <c r="W350" t="s">
        <v>89</v>
      </c>
      <c r="X350" t="s">
        <v>94</v>
      </c>
    </row>
    <row r="351" spans="4:24" x14ac:dyDescent="0.25">
      <c r="D351">
        <v>34142</v>
      </c>
      <c r="E351" s="3">
        <v>42054</v>
      </c>
      <c r="F351">
        <v>23.222943182000002</v>
      </c>
      <c r="G351">
        <v>0.56057756267000003</v>
      </c>
      <c r="H351">
        <v>0.68995049658999996</v>
      </c>
      <c r="I351" t="s">
        <v>89</v>
      </c>
      <c r="J351" t="s">
        <v>95</v>
      </c>
      <c r="R351">
        <v>33950</v>
      </c>
      <c r="S351" s="3">
        <v>42052</v>
      </c>
      <c r="T351">
        <v>23.929019406999998</v>
      </c>
      <c r="U351">
        <v>0.53772800744000004</v>
      </c>
      <c r="V351">
        <v>0.32762529316</v>
      </c>
      <c r="W351" t="s">
        <v>89</v>
      </c>
      <c r="X351" t="s">
        <v>95</v>
      </c>
    </row>
    <row r="352" spans="4:24" x14ac:dyDescent="0.25">
      <c r="D352">
        <v>34143</v>
      </c>
      <c r="E352" s="3">
        <v>42054</v>
      </c>
      <c r="F352">
        <v>23.222943182000002</v>
      </c>
      <c r="G352">
        <v>0.56057756267000003</v>
      </c>
      <c r="H352">
        <v>0.68995049658999996</v>
      </c>
      <c r="I352" t="s">
        <v>89</v>
      </c>
      <c r="J352" t="s">
        <v>96</v>
      </c>
      <c r="R352">
        <v>33951</v>
      </c>
      <c r="S352" s="3">
        <v>42052</v>
      </c>
      <c r="T352">
        <v>23.929019406999998</v>
      </c>
      <c r="U352">
        <v>0.53772800744000004</v>
      </c>
      <c r="V352">
        <v>0.32762529316</v>
      </c>
      <c r="W352" t="s">
        <v>89</v>
      </c>
      <c r="X352" t="s">
        <v>96</v>
      </c>
    </row>
    <row r="353" spans="4:24" x14ac:dyDescent="0.25">
      <c r="D353">
        <v>34144</v>
      </c>
      <c r="E353" s="3">
        <v>42054</v>
      </c>
      <c r="F353">
        <v>23.222943182000002</v>
      </c>
      <c r="G353">
        <v>0.56057756267000003</v>
      </c>
      <c r="H353">
        <v>0.68995049658999996</v>
      </c>
      <c r="I353" t="s">
        <v>89</v>
      </c>
      <c r="J353" t="s">
        <v>97</v>
      </c>
      <c r="R353">
        <v>33952</v>
      </c>
      <c r="S353" s="3">
        <v>42052</v>
      </c>
      <c r="T353">
        <v>23.929019406999998</v>
      </c>
      <c r="U353">
        <v>0.53772800744000004</v>
      </c>
      <c r="V353">
        <v>0.32762529316</v>
      </c>
      <c r="W353" t="s">
        <v>89</v>
      </c>
      <c r="X353" t="s">
        <v>97</v>
      </c>
    </row>
    <row r="354" spans="4:24" x14ac:dyDescent="0.25">
      <c r="D354">
        <v>34145</v>
      </c>
      <c r="E354" s="3">
        <v>42054</v>
      </c>
      <c r="F354">
        <v>23.03242418</v>
      </c>
      <c r="G354">
        <v>0.56779811241</v>
      </c>
      <c r="H354">
        <v>0.72147277380999997</v>
      </c>
      <c r="I354" t="s">
        <v>89</v>
      </c>
      <c r="J354" t="s">
        <v>98</v>
      </c>
      <c r="R354">
        <v>33953</v>
      </c>
      <c r="S354" s="3">
        <v>42052</v>
      </c>
      <c r="T354">
        <v>23.750624681000001</v>
      </c>
      <c r="U354">
        <v>0.54888445058000002</v>
      </c>
      <c r="V354">
        <v>0.45192978894000002</v>
      </c>
      <c r="W354" t="s">
        <v>89</v>
      </c>
      <c r="X354" t="s">
        <v>98</v>
      </c>
    </row>
    <row r="355" spans="4:24" x14ac:dyDescent="0.25">
      <c r="D355">
        <v>34146</v>
      </c>
      <c r="E355" s="3">
        <v>42054</v>
      </c>
      <c r="F355">
        <v>23.03242418</v>
      </c>
      <c r="G355">
        <v>0.56779811241</v>
      </c>
      <c r="H355">
        <v>0.72147277380999997</v>
      </c>
      <c r="I355" t="s">
        <v>89</v>
      </c>
      <c r="J355" t="s">
        <v>99</v>
      </c>
      <c r="R355">
        <v>33954</v>
      </c>
      <c r="S355" s="3">
        <v>42052</v>
      </c>
      <c r="T355">
        <v>23.750624681000001</v>
      </c>
      <c r="U355">
        <v>0.54888445058000002</v>
      </c>
      <c r="V355">
        <v>0.45192978894000002</v>
      </c>
      <c r="W355" t="s">
        <v>89</v>
      </c>
      <c r="X355" t="s">
        <v>99</v>
      </c>
    </row>
    <row r="356" spans="4:24" x14ac:dyDescent="0.25">
      <c r="D356">
        <v>34147</v>
      </c>
      <c r="E356" s="3">
        <v>42054</v>
      </c>
      <c r="F356">
        <v>23.03242418</v>
      </c>
      <c r="G356">
        <v>0.56779811241</v>
      </c>
      <c r="H356">
        <v>0.72147277380999997</v>
      </c>
      <c r="I356" t="s">
        <v>89</v>
      </c>
      <c r="J356" t="s">
        <v>100</v>
      </c>
      <c r="R356">
        <v>33955</v>
      </c>
      <c r="S356" s="3">
        <v>42052</v>
      </c>
      <c r="T356">
        <v>23.750624681000001</v>
      </c>
      <c r="U356">
        <v>0.54888445058000002</v>
      </c>
      <c r="V356">
        <v>0.45192978894000002</v>
      </c>
      <c r="W356" t="s">
        <v>89</v>
      </c>
      <c r="X356" t="s">
        <v>100</v>
      </c>
    </row>
    <row r="357" spans="4:24" x14ac:dyDescent="0.25">
      <c r="D357">
        <v>34148</v>
      </c>
      <c r="E357" s="3">
        <v>42054</v>
      </c>
      <c r="F357">
        <v>23.03242418</v>
      </c>
      <c r="G357">
        <v>0.56779811241</v>
      </c>
      <c r="H357">
        <v>0.72147277380999997</v>
      </c>
      <c r="I357" t="s">
        <v>89</v>
      </c>
      <c r="J357" t="s">
        <v>101</v>
      </c>
      <c r="R357">
        <v>33956</v>
      </c>
      <c r="S357" s="3">
        <v>42052</v>
      </c>
      <c r="T357">
        <v>23.750624681000001</v>
      </c>
      <c r="U357">
        <v>0.54888445058000002</v>
      </c>
      <c r="V357">
        <v>0.45192978894000002</v>
      </c>
      <c r="W357" t="s">
        <v>89</v>
      </c>
      <c r="X357" t="s">
        <v>101</v>
      </c>
    </row>
    <row r="358" spans="4:24" x14ac:dyDescent="0.25">
      <c r="D358">
        <v>34149</v>
      </c>
      <c r="E358" s="3">
        <v>42054</v>
      </c>
      <c r="F358">
        <v>22.557506455999999</v>
      </c>
      <c r="G358">
        <v>0.58209825611999999</v>
      </c>
      <c r="H358">
        <v>0.75424624331000001</v>
      </c>
      <c r="I358" t="s">
        <v>102</v>
      </c>
      <c r="J358" t="s">
        <v>103</v>
      </c>
      <c r="R358">
        <v>33957</v>
      </c>
      <c r="S358" s="3">
        <v>42052</v>
      </c>
      <c r="T358">
        <v>23.204726388000001</v>
      </c>
      <c r="U358">
        <v>0.55652669327000004</v>
      </c>
      <c r="V358">
        <v>0.45292940511000002</v>
      </c>
      <c r="W358" t="s">
        <v>102</v>
      </c>
      <c r="X358" t="s">
        <v>103</v>
      </c>
    </row>
    <row r="359" spans="4:24" x14ac:dyDescent="0.25">
      <c r="D359">
        <v>34150</v>
      </c>
      <c r="E359" s="3">
        <v>42054</v>
      </c>
      <c r="F359">
        <v>22.557506455999999</v>
      </c>
      <c r="G359">
        <v>0.58209825611999999</v>
      </c>
      <c r="H359">
        <v>0.75424624331000001</v>
      </c>
      <c r="I359" t="s">
        <v>102</v>
      </c>
      <c r="J359" t="s">
        <v>104</v>
      </c>
      <c r="R359">
        <v>33958</v>
      </c>
      <c r="S359" s="3">
        <v>42052</v>
      </c>
      <c r="T359">
        <v>23.204726388000001</v>
      </c>
      <c r="U359">
        <v>0.55652669327000004</v>
      </c>
      <c r="V359">
        <v>0.45292940511000002</v>
      </c>
      <c r="W359" t="s">
        <v>102</v>
      </c>
      <c r="X359" t="s">
        <v>104</v>
      </c>
    </row>
    <row r="360" spans="4:24" x14ac:dyDescent="0.25">
      <c r="D360">
        <v>34151</v>
      </c>
      <c r="E360" s="3">
        <v>42054</v>
      </c>
      <c r="F360">
        <v>22.557506455999999</v>
      </c>
      <c r="G360">
        <v>0.58209825611999999</v>
      </c>
      <c r="H360">
        <v>0.75424624331000001</v>
      </c>
      <c r="I360" t="s">
        <v>102</v>
      </c>
      <c r="J360" t="s">
        <v>105</v>
      </c>
      <c r="R360">
        <v>33959</v>
      </c>
      <c r="S360" s="3">
        <v>42052</v>
      </c>
      <c r="T360">
        <v>23.204726388000001</v>
      </c>
      <c r="U360">
        <v>0.55652669327000004</v>
      </c>
      <c r="V360">
        <v>0.45292940511000002</v>
      </c>
      <c r="W360" t="s">
        <v>102</v>
      </c>
      <c r="X360" t="s">
        <v>105</v>
      </c>
    </row>
    <row r="361" spans="4:24" x14ac:dyDescent="0.25">
      <c r="D361">
        <v>34152</v>
      </c>
      <c r="E361" s="3">
        <v>42054</v>
      </c>
      <c r="F361">
        <v>22.557506455999999</v>
      </c>
      <c r="G361">
        <v>0.58209825611999999</v>
      </c>
      <c r="H361">
        <v>0.75424624331000001</v>
      </c>
      <c r="I361" t="s">
        <v>102</v>
      </c>
      <c r="J361" t="s">
        <v>106</v>
      </c>
      <c r="R361">
        <v>33960</v>
      </c>
      <c r="S361" s="3">
        <v>42052</v>
      </c>
      <c r="T361">
        <v>23.204726388000001</v>
      </c>
      <c r="U361">
        <v>0.55652669327000004</v>
      </c>
      <c r="V361">
        <v>0.45292940511000002</v>
      </c>
      <c r="W361" t="s">
        <v>102</v>
      </c>
      <c r="X361" t="s">
        <v>106</v>
      </c>
    </row>
    <row r="362" spans="4:24" x14ac:dyDescent="0.25">
      <c r="D362">
        <v>34153</v>
      </c>
      <c r="E362" s="3">
        <v>42054</v>
      </c>
      <c r="F362">
        <v>21.573449928999999</v>
      </c>
      <c r="G362">
        <v>0.63025277550000003</v>
      </c>
      <c r="H362">
        <v>0.78375390266</v>
      </c>
      <c r="I362" t="s">
        <v>102</v>
      </c>
      <c r="J362" t="s">
        <v>107</v>
      </c>
      <c r="R362">
        <v>33961</v>
      </c>
      <c r="S362" s="3">
        <v>42052</v>
      </c>
      <c r="T362">
        <v>22.877862319999998</v>
      </c>
      <c r="U362">
        <v>0.58344792608999996</v>
      </c>
      <c r="V362">
        <v>0.31299572034000001</v>
      </c>
      <c r="W362" t="s">
        <v>102</v>
      </c>
      <c r="X362" t="s">
        <v>107</v>
      </c>
    </row>
    <row r="363" spans="4:24" x14ac:dyDescent="0.25">
      <c r="D363">
        <v>34154</v>
      </c>
      <c r="E363" s="3">
        <v>42054</v>
      </c>
      <c r="F363">
        <v>21.573449928999999</v>
      </c>
      <c r="G363">
        <v>0.63025277550000003</v>
      </c>
      <c r="H363">
        <v>0.78375390266</v>
      </c>
      <c r="I363" t="s">
        <v>102</v>
      </c>
      <c r="J363" t="s">
        <v>108</v>
      </c>
      <c r="R363">
        <v>33962</v>
      </c>
      <c r="S363" s="3">
        <v>42052</v>
      </c>
      <c r="T363">
        <v>22.877862319999998</v>
      </c>
      <c r="U363">
        <v>0.58344792608999996</v>
      </c>
      <c r="V363">
        <v>0.31299572034000001</v>
      </c>
      <c r="W363" t="s">
        <v>102</v>
      </c>
      <c r="X363" t="s">
        <v>108</v>
      </c>
    </row>
    <row r="364" spans="4:24" x14ac:dyDescent="0.25">
      <c r="D364">
        <v>34155</v>
      </c>
      <c r="E364" s="3">
        <v>42054</v>
      </c>
      <c r="F364">
        <v>21.573449928999999</v>
      </c>
      <c r="G364">
        <v>0.63025277550000003</v>
      </c>
      <c r="H364">
        <v>0.78375390266</v>
      </c>
      <c r="I364" t="s">
        <v>109</v>
      </c>
      <c r="J364" t="s">
        <v>110</v>
      </c>
      <c r="R364">
        <v>33963</v>
      </c>
      <c r="S364" s="3">
        <v>42052</v>
      </c>
      <c r="T364">
        <v>22.877862319999998</v>
      </c>
      <c r="U364">
        <v>0.58344792608999996</v>
      </c>
      <c r="V364">
        <v>0.31299572034000001</v>
      </c>
      <c r="W364" t="s">
        <v>109</v>
      </c>
      <c r="X364" t="s">
        <v>110</v>
      </c>
    </row>
    <row r="365" spans="4:24" x14ac:dyDescent="0.25">
      <c r="D365">
        <v>34156</v>
      </c>
      <c r="E365" s="3">
        <v>42054</v>
      </c>
      <c r="F365">
        <v>21.573449928999999</v>
      </c>
      <c r="G365">
        <v>0.63025277550000003</v>
      </c>
      <c r="H365">
        <v>0.78375390266</v>
      </c>
      <c r="I365" t="s">
        <v>109</v>
      </c>
      <c r="J365" t="s">
        <v>111</v>
      </c>
      <c r="R365">
        <v>33964</v>
      </c>
      <c r="S365" s="3">
        <v>42052</v>
      </c>
      <c r="T365">
        <v>22.877862319999998</v>
      </c>
      <c r="U365">
        <v>0.58344792608999996</v>
      </c>
      <c r="V365">
        <v>0.31299572034000001</v>
      </c>
      <c r="W365" t="s">
        <v>109</v>
      </c>
      <c r="X365" t="s">
        <v>111</v>
      </c>
    </row>
    <row r="366" spans="4:24" x14ac:dyDescent="0.25">
      <c r="D366">
        <v>34157</v>
      </c>
      <c r="E366" s="3">
        <v>42054</v>
      </c>
      <c r="F366">
        <v>20.015045013999998</v>
      </c>
      <c r="G366">
        <v>0.71380647146999998</v>
      </c>
      <c r="H366">
        <v>0.91275023789999998</v>
      </c>
      <c r="I366" t="s">
        <v>109</v>
      </c>
      <c r="J366" t="s">
        <v>112</v>
      </c>
      <c r="R366">
        <v>33965</v>
      </c>
      <c r="S366" s="3">
        <v>42052</v>
      </c>
      <c r="T366">
        <v>21.434986453</v>
      </c>
      <c r="U366">
        <v>0.63996375296999997</v>
      </c>
      <c r="V366">
        <v>0.24946063330000001</v>
      </c>
      <c r="W366" t="s">
        <v>109</v>
      </c>
      <c r="X366" t="s">
        <v>112</v>
      </c>
    </row>
    <row r="367" spans="4:24" x14ac:dyDescent="0.25">
      <c r="D367">
        <v>34158</v>
      </c>
      <c r="E367" s="3">
        <v>42054</v>
      </c>
      <c r="F367">
        <v>20.015045013999998</v>
      </c>
      <c r="G367">
        <v>0.71380647146999998</v>
      </c>
      <c r="H367">
        <v>0.91275023789999998</v>
      </c>
      <c r="I367" t="s">
        <v>109</v>
      </c>
      <c r="J367" t="s">
        <v>113</v>
      </c>
      <c r="R367">
        <v>33966</v>
      </c>
      <c r="S367" s="3">
        <v>42052</v>
      </c>
      <c r="T367">
        <v>21.434986453</v>
      </c>
      <c r="U367">
        <v>0.63996375296999997</v>
      </c>
      <c r="V367">
        <v>0.24946063330000001</v>
      </c>
      <c r="W367" t="s">
        <v>109</v>
      </c>
      <c r="X367" t="s">
        <v>113</v>
      </c>
    </row>
    <row r="368" spans="4:24" x14ac:dyDescent="0.25">
      <c r="D368">
        <v>34159</v>
      </c>
      <c r="E368" s="3">
        <v>42054</v>
      </c>
      <c r="F368">
        <v>20.015045013999998</v>
      </c>
      <c r="G368">
        <v>0.71380647146999998</v>
      </c>
      <c r="H368">
        <v>0.91275023789999998</v>
      </c>
      <c r="I368" t="s">
        <v>109</v>
      </c>
      <c r="J368" t="s">
        <v>114</v>
      </c>
      <c r="R368">
        <v>33967</v>
      </c>
      <c r="S368" s="3">
        <v>42052</v>
      </c>
      <c r="T368">
        <v>21.434986453</v>
      </c>
      <c r="U368">
        <v>0.63996375296999997</v>
      </c>
      <c r="V368">
        <v>0.24946063330000001</v>
      </c>
      <c r="W368" t="s">
        <v>109</v>
      </c>
      <c r="X368" t="s">
        <v>114</v>
      </c>
    </row>
    <row r="369" spans="4:24" x14ac:dyDescent="0.25">
      <c r="D369">
        <v>34160</v>
      </c>
      <c r="E369" s="3">
        <v>42054</v>
      </c>
      <c r="F369">
        <v>20.015045013999998</v>
      </c>
      <c r="G369">
        <v>0.71380647146999998</v>
      </c>
      <c r="H369">
        <v>0.91275023789999998</v>
      </c>
      <c r="I369" t="s">
        <v>109</v>
      </c>
      <c r="J369" t="s">
        <v>115</v>
      </c>
      <c r="R369">
        <v>33968</v>
      </c>
      <c r="S369" s="3">
        <v>42052</v>
      </c>
      <c r="T369">
        <v>21.434986453</v>
      </c>
      <c r="U369">
        <v>0.63996375296999997</v>
      </c>
      <c r="V369">
        <v>0.24946063330000001</v>
      </c>
      <c r="W369" t="s">
        <v>109</v>
      </c>
      <c r="X369" t="s">
        <v>115</v>
      </c>
    </row>
    <row r="370" spans="4:24" x14ac:dyDescent="0.25">
      <c r="D370">
        <v>34161</v>
      </c>
      <c r="E370" s="3">
        <v>42054</v>
      </c>
      <c r="F370">
        <v>18.73850041</v>
      </c>
      <c r="G370">
        <v>0.76766712476999999</v>
      </c>
      <c r="H370">
        <v>0.93377985399999996</v>
      </c>
      <c r="I370" t="s">
        <v>109</v>
      </c>
      <c r="J370" t="s">
        <v>116</v>
      </c>
      <c r="R370">
        <v>33969</v>
      </c>
      <c r="S370" s="3">
        <v>42052</v>
      </c>
      <c r="T370">
        <v>19.769739916999999</v>
      </c>
      <c r="U370">
        <v>0.69956791111000005</v>
      </c>
      <c r="V370">
        <v>0.30653857189</v>
      </c>
      <c r="W370" t="s">
        <v>109</v>
      </c>
      <c r="X370" t="s">
        <v>116</v>
      </c>
    </row>
    <row r="371" spans="4:24" x14ac:dyDescent="0.25">
      <c r="D371">
        <v>34162</v>
      </c>
      <c r="E371" s="3">
        <v>42054</v>
      </c>
      <c r="F371">
        <v>18.73850041</v>
      </c>
      <c r="G371">
        <v>0.76766712476999999</v>
      </c>
      <c r="H371">
        <v>0.93377985399999996</v>
      </c>
      <c r="I371" t="s">
        <v>109</v>
      </c>
      <c r="J371" t="s">
        <v>117</v>
      </c>
      <c r="R371">
        <v>33970</v>
      </c>
      <c r="S371" s="3">
        <v>42052</v>
      </c>
      <c r="T371">
        <v>19.769739916999999</v>
      </c>
      <c r="U371">
        <v>0.69956791111000005</v>
      </c>
      <c r="V371">
        <v>0.30653857189</v>
      </c>
      <c r="W371" t="s">
        <v>109</v>
      </c>
      <c r="X371" t="s">
        <v>117</v>
      </c>
    </row>
    <row r="372" spans="4:24" x14ac:dyDescent="0.25">
      <c r="D372">
        <v>34163</v>
      </c>
      <c r="E372" s="3">
        <v>42054</v>
      </c>
      <c r="F372">
        <v>18.73850041</v>
      </c>
      <c r="G372">
        <v>0.76766712476999999</v>
      </c>
      <c r="H372">
        <v>0.93377985399999996</v>
      </c>
      <c r="I372" t="s">
        <v>109</v>
      </c>
      <c r="J372" t="s">
        <v>118</v>
      </c>
      <c r="R372">
        <v>33971</v>
      </c>
      <c r="S372" s="3">
        <v>42052</v>
      </c>
      <c r="T372">
        <v>19.769739916999999</v>
      </c>
      <c r="U372">
        <v>0.69956791111000005</v>
      </c>
      <c r="V372">
        <v>0.30653857189</v>
      </c>
      <c r="W372" t="s">
        <v>109</v>
      </c>
      <c r="X372" t="s">
        <v>118</v>
      </c>
    </row>
    <row r="373" spans="4:24" x14ac:dyDescent="0.25">
      <c r="D373">
        <v>34164</v>
      </c>
      <c r="E373" s="3">
        <v>42054</v>
      </c>
      <c r="F373">
        <v>18.73850041</v>
      </c>
      <c r="G373">
        <v>0.76766712476999999</v>
      </c>
      <c r="H373">
        <v>0.93377985399999996</v>
      </c>
      <c r="I373" t="s">
        <v>109</v>
      </c>
      <c r="J373" t="s">
        <v>119</v>
      </c>
      <c r="R373">
        <v>33972</v>
      </c>
      <c r="S373" s="3">
        <v>42052</v>
      </c>
      <c r="T373">
        <v>19.769739916999999</v>
      </c>
      <c r="U373">
        <v>0.69956791111000005</v>
      </c>
      <c r="V373">
        <v>0.30653857189</v>
      </c>
      <c r="W373" t="s">
        <v>109</v>
      </c>
      <c r="X373" t="s">
        <v>119</v>
      </c>
    </row>
    <row r="374" spans="4:24" x14ac:dyDescent="0.25">
      <c r="D374">
        <v>34165</v>
      </c>
      <c r="E374" s="3">
        <v>42054</v>
      </c>
      <c r="F374">
        <v>18.321093066</v>
      </c>
      <c r="G374">
        <v>0.75649441910000004</v>
      </c>
      <c r="H374">
        <v>0.86156322252999995</v>
      </c>
      <c r="I374" t="s">
        <v>109</v>
      </c>
      <c r="J374" t="s">
        <v>120</v>
      </c>
      <c r="R374">
        <v>33973</v>
      </c>
      <c r="S374" s="3">
        <v>42052</v>
      </c>
      <c r="T374">
        <v>18.595164388000001</v>
      </c>
      <c r="U374">
        <v>0.77445802467000002</v>
      </c>
      <c r="V374">
        <v>0.20346607172</v>
      </c>
      <c r="W374" t="s">
        <v>109</v>
      </c>
      <c r="X374" t="s">
        <v>120</v>
      </c>
    </row>
    <row r="375" spans="4:24" x14ac:dyDescent="0.25">
      <c r="D375">
        <v>34166</v>
      </c>
      <c r="E375" s="3">
        <v>42054</v>
      </c>
      <c r="F375">
        <v>18.321093066</v>
      </c>
      <c r="G375">
        <v>0.75649441910000004</v>
      </c>
      <c r="H375">
        <v>0.86156322252999995</v>
      </c>
      <c r="I375" t="s">
        <v>109</v>
      </c>
      <c r="J375" t="s">
        <v>121</v>
      </c>
      <c r="R375">
        <v>33974</v>
      </c>
      <c r="S375" s="3">
        <v>42052</v>
      </c>
      <c r="T375">
        <v>18.595164388000001</v>
      </c>
      <c r="U375">
        <v>0.77445802467000002</v>
      </c>
      <c r="V375">
        <v>0.20346607172</v>
      </c>
      <c r="W375" t="s">
        <v>109</v>
      </c>
      <c r="X375" t="s">
        <v>121</v>
      </c>
    </row>
    <row r="376" spans="4:24" x14ac:dyDescent="0.25">
      <c r="D376">
        <v>34167</v>
      </c>
      <c r="E376" s="3">
        <v>42054</v>
      </c>
      <c r="F376">
        <v>18.321093066</v>
      </c>
      <c r="G376">
        <v>0.75649441910000004</v>
      </c>
      <c r="H376">
        <v>0.86156322252999995</v>
      </c>
      <c r="I376" t="s">
        <v>122</v>
      </c>
      <c r="J376" t="s">
        <v>123</v>
      </c>
      <c r="R376">
        <v>33975</v>
      </c>
      <c r="S376" s="3">
        <v>42052</v>
      </c>
      <c r="T376">
        <v>18.595164388000001</v>
      </c>
      <c r="U376">
        <v>0.77445802467000002</v>
      </c>
      <c r="V376">
        <v>0.20346607172</v>
      </c>
      <c r="W376" t="s">
        <v>122</v>
      </c>
      <c r="X376" t="s">
        <v>123</v>
      </c>
    </row>
    <row r="377" spans="4:24" x14ac:dyDescent="0.25">
      <c r="D377">
        <v>34168</v>
      </c>
      <c r="E377" s="3">
        <v>42054</v>
      </c>
      <c r="F377">
        <v>18.321093066</v>
      </c>
      <c r="G377">
        <v>0.75649441910000004</v>
      </c>
      <c r="H377">
        <v>0.86156322252999995</v>
      </c>
      <c r="I377" t="s">
        <v>122</v>
      </c>
      <c r="J377" t="s">
        <v>124</v>
      </c>
      <c r="R377">
        <v>33976</v>
      </c>
      <c r="S377" s="3">
        <v>42052</v>
      </c>
      <c r="T377">
        <v>18.595164388000001</v>
      </c>
      <c r="U377">
        <v>0.77445802467000002</v>
      </c>
      <c r="V377">
        <v>0.20346607172</v>
      </c>
      <c r="W377" t="s">
        <v>122</v>
      </c>
      <c r="X377" t="s">
        <v>124</v>
      </c>
    </row>
    <row r="378" spans="4:24" x14ac:dyDescent="0.25">
      <c r="D378">
        <v>34169</v>
      </c>
      <c r="E378" s="3">
        <v>42054</v>
      </c>
      <c r="F378">
        <v>17.540127292000001</v>
      </c>
      <c r="G378">
        <v>0.78054449674000004</v>
      </c>
      <c r="H378">
        <v>0.89403900669000003</v>
      </c>
      <c r="I378" t="s">
        <v>122</v>
      </c>
      <c r="J378" t="s">
        <v>125</v>
      </c>
      <c r="R378">
        <v>33977</v>
      </c>
      <c r="S378" s="3">
        <v>42052</v>
      </c>
      <c r="T378">
        <v>17.595164389000001</v>
      </c>
      <c r="U378">
        <v>0.78799119792000005</v>
      </c>
      <c r="V378">
        <v>0.31153595645999999</v>
      </c>
      <c r="W378" t="s">
        <v>122</v>
      </c>
      <c r="X378" t="s">
        <v>125</v>
      </c>
    </row>
    <row r="379" spans="4:24" x14ac:dyDescent="0.25">
      <c r="D379">
        <v>34170</v>
      </c>
      <c r="E379" s="3">
        <v>42054</v>
      </c>
      <c r="F379">
        <v>17.540127292000001</v>
      </c>
      <c r="G379">
        <v>0.78054449674000004</v>
      </c>
      <c r="H379">
        <v>0.89403900669000003</v>
      </c>
      <c r="I379" t="s">
        <v>122</v>
      </c>
      <c r="J379" t="s">
        <v>126</v>
      </c>
      <c r="R379">
        <v>33978</v>
      </c>
      <c r="S379" s="3">
        <v>42052</v>
      </c>
      <c r="T379">
        <v>17.595164389000001</v>
      </c>
      <c r="U379">
        <v>0.78799119792000005</v>
      </c>
      <c r="V379">
        <v>0.31153595645999999</v>
      </c>
      <c r="W379" t="s">
        <v>122</v>
      </c>
      <c r="X379" t="s">
        <v>126</v>
      </c>
    </row>
    <row r="380" spans="4:24" x14ac:dyDescent="0.25">
      <c r="D380">
        <v>34171</v>
      </c>
      <c r="E380" s="3">
        <v>42054</v>
      </c>
      <c r="F380">
        <v>17.540127292000001</v>
      </c>
      <c r="G380">
        <v>0.78054449674000004</v>
      </c>
      <c r="H380">
        <v>0.89403900669000003</v>
      </c>
      <c r="I380" t="s">
        <v>122</v>
      </c>
      <c r="J380" t="s">
        <v>127</v>
      </c>
      <c r="R380">
        <v>33979</v>
      </c>
      <c r="S380" s="3">
        <v>42052</v>
      </c>
      <c r="T380">
        <v>17.595164389000001</v>
      </c>
      <c r="U380">
        <v>0.78799119792000005</v>
      </c>
      <c r="V380">
        <v>0.31153595645999999</v>
      </c>
      <c r="W380" t="s">
        <v>122</v>
      </c>
      <c r="X380" t="s">
        <v>127</v>
      </c>
    </row>
    <row r="381" spans="4:24" x14ac:dyDescent="0.25">
      <c r="D381">
        <v>34172</v>
      </c>
      <c r="E381" s="3">
        <v>42054</v>
      </c>
      <c r="F381">
        <v>17.540127292000001</v>
      </c>
      <c r="G381">
        <v>0.78054449674000004</v>
      </c>
      <c r="H381">
        <v>0.89403900669000003</v>
      </c>
      <c r="I381" t="s">
        <v>122</v>
      </c>
      <c r="J381" t="s">
        <v>128</v>
      </c>
      <c r="R381">
        <v>33980</v>
      </c>
      <c r="S381" s="3">
        <v>42052</v>
      </c>
      <c r="T381">
        <v>17.595164389000001</v>
      </c>
      <c r="U381">
        <v>0.78799119792000005</v>
      </c>
      <c r="V381">
        <v>0.31153595645999999</v>
      </c>
      <c r="W381" t="s">
        <v>122</v>
      </c>
      <c r="X381" t="s">
        <v>128</v>
      </c>
    </row>
    <row r="382" spans="4:24" x14ac:dyDescent="0.25">
      <c r="D382">
        <v>34173</v>
      </c>
      <c r="E382" s="3">
        <v>42054</v>
      </c>
      <c r="F382">
        <v>17.606390226999999</v>
      </c>
      <c r="G382">
        <v>0.73054248816</v>
      </c>
      <c r="H382">
        <v>0.90965642028000004</v>
      </c>
      <c r="I382" t="s">
        <v>122</v>
      </c>
      <c r="J382" t="s">
        <v>129</v>
      </c>
      <c r="R382">
        <v>33981</v>
      </c>
      <c r="S382" s="3">
        <v>42052</v>
      </c>
      <c r="T382">
        <v>16.910802619999998</v>
      </c>
      <c r="U382">
        <v>0.79486845479000001</v>
      </c>
      <c r="V382">
        <v>0.36114195344</v>
      </c>
      <c r="W382" t="s">
        <v>122</v>
      </c>
      <c r="X382" t="s">
        <v>129</v>
      </c>
    </row>
    <row r="383" spans="4:24" x14ac:dyDescent="0.25">
      <c r="D383">
        <v>34174</v>
      </c>
      <c r="E383" s="3">
        <v>42054</v>
      </c>
      <c r="F383">
        <v>17.606390226999999</v>
      </c>
      <c r="G383">
        <v>0.73054248816</v>
      </c>
      <c r="H383">
        <v>0.90965642028000004</v>
      </c>
      <c r="I383" t="s">
        <v>122</v>
      </c>
      <c r="J383" t="s">
        <v>130</v>
      </c>
      <c r="R383">
        <v>33982</v>
      </c>
      <c r="S383" s="3">
        <v>42052</v>
      </c>
      <c r="T383">
        <v>16.910802619999998</v>
      </c>
      <c r="U383">
        <v>0.79486845479000001</v>
      </c>
      <c r="V383">
        <v>0.36114195344</v>
      </c>
      <c r="W383" t="s">
        <v>122</v>
      </c>
      <c r="X383" t="s">
        <v>130</v>
      </c>
    </row>
    <row r="384" spans="4:24" x14ac:dyDescent="0.25">
      <c r="D384">
        <v>34175</v>
      </c>
      <c r="E384" s="3">
        <v>42054</v>
      </c>
      <c r="F384">
        <v>17.606390226999999</v>
      </c>
      <c r="G384">
        <v>0.73054248816</v>
      </c>
      <c r="H384">
        <v>0.90965642028000004</v>
      </c>
      <c r="I384" t="s">
        <v>122</v>
      </c>
      <c r="J384" t="s">
        <v>131</v>
      </c>
      <c r="R384">
        <v>33983</v>
      </c>
      <c r="S384" s="3">
        <v>42052</v>
      </c>
      <c r="T384">
        <v>16.910802619999998</v>
      </c>
      <c r="U384">
        <v>0.79486845479000001</v>
      </c>
      <c r="V384">
        <v>0.36114195344</v>
      </c>
      <c r="W384" t="s">
        <v>122</v>
      </c>
      <c r="X384" t="s">
        <v>131</v>
      </c>
    </row>
    <row r="385" spans="4:24" x14ac:dyDescent="0.25">
      <c r="D385">
        <v>34176</v>
      </c>
      <c r="E385" s="3">
        <v>42054</v>
      </c>
      <c r="F385">
        <v>17.606390226999999</v>
      </c>
      <c r="G385">
        <v>0.73054248816</v>
      </c>
      <c r="H385">
        <v>0.90965642028000004</v>
      </c>
      <c r="I385" t="s">
        <v>122</v>
      </c>
      <c r="J385" t="s">
        <v>132</v>
      </c>
      <c r="R385">
        <v>33984</v>
      </c>
      <c r="S385" s="3">
        <v>42052</v>
      </c>
      <c r="T385">
        <v>16.910802619999998</v>
      </c>
      <c r="U385">
        <v>0.79486845479000001</v>
      </c>
      <c r="V385">
        <v>0.36114195344</v>
      </c>
      <c r="W385" t="s">
        <v>122</v>
      </c>
      <c r="X385" t="s">
        <v>132</v>
      </c>
    </row>
  </sheetData>
  <mergeCells count="3">
    <mergeCell ref="A1:C1"/>
    <mergeCell ref="L1:Q1"/>
    <mergeCell ref="L21:Q21"/>
  </mergeCell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0</xdr:col>
                <xdr:colOff>171450</xdr:colOff>
                <xdr:row>7</xdr:row>
                <xdr:rowOff>180975</xdr:rowOff>
              </from>
              <to>
                <xdr:col>2</xdr:col>
                <xdr:colOff>514350</xdr:colOff>
                <xdr:row>9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0</xdr:col>
                <xdr:colOff>171450</xdr:colOff>
                <xdr:row>4</xdr:row>
                <xdr:rowOff>171450</xdr:rowOff>
              </from>
              <to>
                <xdr:col>2</xdr:col>
                <xdr:colOff>514350</xdr:colOff>
                <xdr:row>6</xdr:row>
                <xdr:rowOff>76200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autoPict="0" r:id="rId11">
            <anchor moveWithCells="1">
              <from>
                <xdr:col>0</xdr:col>
                <xdr:colOff>200025</xdr:colOff>
                <xdr:row>13</xdr:row>
                <xdr:rowOff>152400</xdr:rowOff>
              </from>
              <to>
                <xdr:col>2</xdr:col>
                <xdr:colOff>523875</xdr:colOff>
                <xdr:row>15</xdr:row>
                <xdr:rowOff>76200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0</xdr:col>
                <xdr:colOff>219075</xdr:colOff>
                <xdr:row>20</xdr:row>
                <xdr:rowOff>0</xdr:rowOff>
              </from>
              <to>
                <xdr:col>2</xdr:col>
                <xdr:colOff>504825</xdr:colOff>
                <xdr:row>21</xdr:row>
                <xdr:rowOff>152400</xdr:rowOff>
              </to>
            </anchor>
          </controlPr>
        </control>
      </mc:Choice>
      <mc:Fallback>
        <control shapeId="3075" r:id="rId12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E1:U289"/>
  <sheetViews>
    <sheetView workbookViewId="0">
      <selection activeCell="D17" sqref="D17"/>
    </sheetView>
  </sheetViews>
  <sheetFormatPr defaultRowHeight="15" x14ac:dyDescent="0.25"/>
  <cols>
    <col min="5" max="5" width="0" hidden="1" customWidth="1"/>
    <col min="15" max="15" width="13.140625" customWidth="1"/>
    <col min="16" max="16" width="21.42578125" customWidth="1"/>
    <col min="17" max="17" width="12" customWidth="1"/>
    <col min="18" max="19" width="14.7109375" customWidth="1"/>
    <col min="20" max="20" width="12" customWidth="1"/>
    <col min="21" max="21" width="12" bestFit="1" customWidth="1"/>
  </cols>
  <sheetData>
    <row r="1" spans="5:21" x14ac:dyDescent="0.25">
      <c r="F1" t="s">
        <v>2</v>
      </c>
      <c r="G1" t="s">
        <v>3</v>
      </c>
      <c r="H1" t="s">
        <v>204</v>
      </c>
      <c r="I1" t="s">
        <v>205</v>
      </c>
      <c r="J1" t="s">
        <v>7</v>
      </c>
      <c r="K1" t="s">
        <v>5</v>
      </c>
      <c r="L1" t="s">
        <v>6</v>
      </c>
      <c r="M1" t="s">
        <v>206</v>
      </c>
      <c r="O1" s="4" t="s">
        <v>2</v>
      </c>
      <c r="P1" t="s">
        <v>501</v>
      </c>
    </row>
    <row r="2" spans="5:21" x14ac:dyDescent="0.25">
      <c r="E2" t="s">
        <v>207</v>
      </c>
      <c r="F2" t="s">
        <v>501</v>
      </c>
      <c r="G2" t="s">
        <v>26</v>
      </c>
      <c r="H2">
        <v>2811.61656813229</v>
      </c>
      <c r="I2">
        <v>2950.6145030580401</v>
      </c>
      <c r="J2">
        <v>3009.7945426596998</v>
      </c>
      <c r="K2">
        <v>2953.3630211729101</v>
      </c>
      <c r="L2">
        <v>2926.8187867305101</v>
      </c>
      <c r="M2">
        <v>2816</v>
      </c>
    </row>
    <row r="3" spans="5:21" x14ac:dyDescent="0.25">
      <c r="E3" t="s">
        <v>208</v>
      </c>
      <c r="F3" t="s">
        <v>501</v>
      </c>
      <c r="G3" t="s">
        <v>27</v>
      </c>
      <c r="H3">
        <v>2810.4956146786799</v>
      </c>
      <c r="I3">
        <v>2946.5077452140799</v>
      </c>
      <c r="J3">
        <v>2878.7752293233002</v>
      </c>
      <c r="K3">
        <v>2956.2416717185702</v>
      </c>
      <c r="L3">
        <v>2939.6826191372402</v>
      </c>
      <c r="M3">
        <v>2824</v>
      </c>
      <c r="P3" s="4" t="s">
        <v>134</v>
      </c>
    </row>
    <row r="4" spans="5:21" x14ac:dyDescent="0.25">
      <c r="E4" t="s">
        <v>209</v>
      </c>
      <c r="F4" t="s">
        <v>501</v>
      </c>
      <c r="G4" t="s">
        <v>28</v>
      </c>
      <c r="H4">
        <v>2820.9013446629901</v>
      </c>
      <c r="I4">
        <v>2927.97600510349</v>
      </c>
      <c r="J4">
        <v>2835.8211600863501</v>
      </c>
      <c r="K4">
        <v>2953.0092709014302</v>
      </c>
      <c r="L4">
        <v>2936.6721324158998</v>
      </c>
      <c r="M4">
        <v>2821</v>
      </c>
      <c r="O4" s="4" t="s">
        <v>133</v>
      </c>
      <c r="P4" t="s">
        <v>495</v>
      </c>
      <c r="Q4" t="s">
        <v>496</v>
      </c>
      <c r="R4" t="s">
        <v>500</v>
      </c>
      <c r="S4" t="s">
        <v>499</v>
      </c>
      <c r="T4" t="s">
        <v>497</v>
      </c>
      <c r="U4" t="s">
        <v>498</v>
      </c>
    </row>
    <row r="5" spans="5:21" x14ac:dyDescent="0.25">
      <c r="E5" t="s">
        <v>210</v>
      </c>
      <c r="F5" t="s">
        <v>501</v>
      </c>
      <c r="G5" t="s">
        <v>29</v>
      </c>
      <c r="H5">
        <v>2844.1899819320201</v>
      </c>
      <c r="I5">
        <v>2938.17481882313</v>
      </c>
      <c r="J5">
        <v>2831.25111220284</v>
      </c>
      <c r="K5">
        <v>2971.7208780718402</v>
      </c>
      <c r="L5">
        <v>2954.98677830218</v>
      </c>
      <c r="M5">
        <v>2822</v>
      </c>
      <c r="O5" s="5" t="s">
        <v>26</v>
      </c>
      <c r="P5" s="7">
        <v>2816</v>
      </c>
      <c r="Q5" s="7">
        <v>2811.61656813229</v>
      </c>
      <c r="R5" s="7">
        <v>2926.8187867305101</v>
      </c>
      <c r="S5" s="7">
        <v>2953.3630211729101</v>
      </c>
      <c r="T5" s="7">
        <v>2950.6145030580401</v>
      </c>
      <c r="U5" s="7">
        <v>3009.7945426596998</v>
      </c>
    </row>
    <row r="6" spans="5:21" x14ac:dyDescent="0.25">
      <c r="E6" t="s">
        <v>211</v>
      </c>
      <c r="F6" t="s">
        <v>501</v>
      </c>
      <c r="G6" t="s">
        <v>30</v>
      </c>
      <c r="H6">
        <v>2886.2197668057001</v>
      </c>
      <c r="I6">
        <v>2926.8689224526202</v>
      </c>
      <c r="J6">
        <v>2855.8241496475098</v>
      </c>
      <c r="K6">
        <v>2967.3912383151801</v>
      </c>
      <c r="L6">
        <v>2958.7688889781998</v>
      </c>
      <c r="M6">
        <v>2813</v>
      </c>
      <c r="O6" s="5" t="s">
        <v>27</v>
      </c>
      <c r="P6" s="7">
        <v>2824</v>
      </c>
      <c r="Q6" s="7">
        <v>2810.4956146786799</v>
      </c>
      <c r="R6" s="7">
        <v>2939.6826191372402</v>
      </c>
      <c r="S6" s="7">
        <v>2956.2416717185702</v>
      </c>
      <c r="T6" s="7">
        <v>2946.5077452140799</v>
      </c>
      <c r="U6" s="7">
        <v>2878.7752293233002</v>
      </c>
    </row>
    <row r="7" spans="5:21" x14ac:dyDescent="0.25">
      <c r="E7" t="s">
        <v>212</v>
      </c>
      <c r="F7" t="s">
        <v>501</v>
      </c>
      <c r="G7" t="s">
        <v>31</v>
      </c>
      <c r="H7">
        <v>2885.6780620555901</v>
      </c>
      <c r="I7">
        <v>2930.0698963022501</v>
      </c>
      <c r="J7">
        <v>2885.4589207527501</v>
      </c>
      <c r="K7">
        <v>2979.9481846824901</v>
      </c>
      <c r="L7">
        <v>2994.9454739257499</v>
      </c>
      <c r="M7">
        <v>2807</v>
      </c>
      <c r="O7" s="5" t="s">
        <v>28</v>
      </c>
      <c r="P7" s="7">
        <v>2821</v>
      </c>
      <c r="Q7" s="7">
        <v>2820.9013446629901</v>
      </c>
      <c r="R7" s="7">
        <v>2936.6721324158998</v>
      </c>
      <c r="S7" s="7">
        <v>2953.0092709014302</v>
      </c>
      <c r="T7" s="7">
        <v>2927.97600510349</v>
      </c>
      <c r="U7" s="7">
        <v>2835.8211600863501</v>
      </c>
    </row>
    <row r="8" spans="5:21" x14ac:dyDescent="0.25">
      <c r="E8" t="s">
        <v>213</v>
      </c>
      <c r="F8" t="s">
        <v>501</v>
      </c>
      <c r="G8" t="s">
        <v>32</v>
      </c>
      <c r="H8">
        <v>2898.2747582751599</v>
      </c>
      <c r="I8">
        <v>2936.5456807350201</v>
      </c>
      <c r="J8">
        <v>2880.2321858799301</v>
      </c>
      <c r="K8">
        <v>2994.05040205567</v>
      </c>
      <c r="L8">
        <v>2982.72101439886</v>
      </c>
      <c r="M8">
        <v>2862</v>
      </c>
      <c r="O8" s="5" t="s">
        <v>29</v>
      </c>
      <c r="P8" s="7">
        <v>2822</v>
      </c>
      <c r="Q8" s="7">
        <v>2844.1899819320201</v>
      </c>
      <c r="R8" s="7">
        <v>2954.98677830218</v>
      </c>
      <c r="S8" s="7">
        <v>2971.7208780718402</v>
      </c>
      <c r="T8" s="7">
        <v>2938.17481882313</v>
      </c>
      <c r="U8" s="7">
        <v>2831.25111220284</v>
      </c>
    </row>
    <row r="9" spans="5:21" x14ac:dyDescent="0.25">
      <c r="E9" t="s">
        <v>214</v>
      </c>
      <c r="F9" t="s">
        <v>501</v>
      </c>
      <c r="G9" t="s">
        <v>33</v>
      </c>
      <c r="H9">
        <v>2884.6860250764598</v>
      </c>
      <c r="I9">
        <v>2926.96734229294</v>
      </c>
      <c r="J9">
        <v>2870.2413461229498</v>
      </c>
      <c r="K9">
        <v>2990.92661727418</v>
      </c>
      <c r="L9">
        <v>2985.80678518781</v>
      </c>
      <c r="M9">
        <v>2864</v>
      </c>
      <c r="O9" s="5" t="s">
        <v>30</v>
      </c>
      <c r="P9" s="7">
        <v>2813</v>
      </c>
      <c r="Q9" s="7">
        <v>2886.2197668057001</v>
      </c>
      <c r="R9" s="7">
        <v>2958.7688889781998</v>
      </c>
      <c r="S9" s="7">
        <v>2967.3912383151801</v>
      </c>
      <c r="T9" s="7">
        <v>2926.8689224526202</v>
      </c>
      <c r="U9" s="7">
        <v>2855.8241496475098</v>
      </c>
    </row>
    <row r="10" spans="5:21" x14ac:dyDescent="0.25">
      <c r="E10" t="s">
        <v>215</v>
      </c>
      <c r="F10" t="s">
        <v>501</v>
      </c>
      <c r="G10" t="s">
        <v>34</v>
      </c>
      <c r="H10">
        <v>2889.4119501464202</v>
      </c>
      <c r="I10">
        <v>2877.9400343933999</v>
      </c>
      <c r="J10">
        <v>2861.6939699598802</v>
      </c>
      <c r="K10">
        <v>2970.07726021183</v>
      </c>
      <c r="L10">
        <v>2951.1762237356202</v>
      </c>
      <c r="M10">
        <v>2846</v>
      </c>
      <c r="O10" s="5" t="s">
        <v>31</v>
      </c>
      <c r="P10" s="7">
        <v>2807</v>
      </c>
      <c r="Q10" s="7">
        <v>2885.6780620555901</v>
      </c>
      <c r="R10" s="7">
        <v>2994.9454739257499</v>
      </c>
      <c r="S10" s="7">
        <v>2979.9481846824901</v>
      </c>
      <c r="T10" s="7">
        <v>2930.0698963022501</v>
      </c>
      <c r="U10" s="7">
        <v>2885.4589207527501</v>
      </c>
    </row>
    <row r="11" spans="5:21" x14ac:dyDescent="0.25">
      <c r="E11" t="s">
        <v>216</v>
      </c>
      <c r="F11" t="s">
        <v>501</v>
      </c>
      <c r="G11" t="s">
        <v>35</v>
      </c>
      <c r="H11">
        <v>2873.7099780041899</v>
      </c>
      <c r="I11">
        <v>2867.5572043500802</v>
      </c>
      <c r="J11">
        <v>2859.6189151645599</v>
      </c>
      <c r="K11">
        <v>2948.07310370404</v>
      </c>
      <c r="L11">
        <v>2921.9452544903602</v>
      </c>
      <c r="M11">
        <v>2828</v>
      </c>
      <c r="O11" s="5" t="s">
        <v>32</v>
      </c>
      <c r="P11" s="7">
        <v>2862</v>
      </c>
      <c r="Q11" s="7">
        <v>2898.2747582751599</v>
      </c>
      <c r="R11" s="7">
        <v>2982.72101439886</v>
      </c>
      <c r="S11" s="7">
        <v>2994.05040205567</v>
      </c>
      <c r="T11" s="7">
        <v>2936.5456807350201</v>
      </c>
      <c r="U11" s="7">
        <v>2880.2321858799301</v>
      </c>
    </row>
    <row r="12" spans="5:21" x14ac:dyDescent="0.25">
      <c r="E12" t="s">
        <v>217</v>
      </c>
      <c r="F12" t="s">
        <v>501</v>
      </c>
      <c r="G12" t="s">
        <v>36</v>
      </c>
      <c r="H12">
        <v>2856.4148857666701</v>
      </c>
      <c r="I12">
        <v>2872.91645862829</v>
      </c>
      <c r="J12">
        <v>2883.34130622764</v>
      </c>
      <c r="K12">
        <v>2917.89234854496</v>
      </c>
      <c r="L12">
        <v>2911.3802100796902</v>
      </c>
      <c r="M12">
        <v>2810</v>
      </c>
      <c r="O12" s="5" t="s">
        <v>33</v>
      </c>
      <c r="P12" s="7">
        <v>2864</v>
      </c>
      <c r="Q12" s="7">
        <v>2884.6860250764598</v>
      </c>
      <c r="R12" s="7">
        <v>2985.80678518781</v>
      </c>
      <c r="S12" s="7">
        <v>2990.92661727418</v>
      </c>
      <c r="T12" s="7">
        <v>2926.96734229294</v>
      </c>
      <c r="U12" s="7">
        <v>2870.2413461229498</v>
      </c>
    </row>
    <row r="13" spans="5:21" x14ac:dyDescent="0.25">
      <c r="E13" t="s">
        <v>218</v>
      </c>
      <c r="F13" t="s">
        <v>501</v>
      </c>
      <c r="G13" t="s">
        <v>37</v>
      </c>
      <c r="H13">
        <v>2865.12690104592</v>
      </c>
      <c r="I13">
        <v>2886.9572173660899</v>
      </c>
      <c r="J13">
        <v>2866.2845851071202</v>
      </c>
      <c r="K13">
        <v>2918.8015780661699</v>
      </c>
      <c r="L13">
        <v>2911.81364918708</v>
      </c>
      <c r="M13">
        <v>2803.6666666666665</v>
      </c>
      <c r="O13" s="5" t="s">
        <v>34</v>
      </c>
      <c r="P13" s="7">
        <v>2846</v>
      </c>
      <c r="Q13" s="7">
        <v>2889.4119501464202</v>
      </c>
      <c r="R13" s="7">
        <v>2951.1762237356202</v>
      </c>
      <c r="S13" s="7">
        <v>2970.07726021183</v>
      </c>
      <c r="T13" s="7">
        <v>2877.9400343933999</v>
      </c>
      <c r="U13" s="7">
        <v>2861.6939699598802</v>
      </c>
    </row>
    <row r="14" spans="5:21" x14ac:dyDescent="0.25">
      <c r="E14" t="s">
        <v>219</v>
      </c>
      <c r="F14" t="s">
        <v>501</v>
      </c>
      <c r="G14" t="s">
        <v>38</v>
      </c>
      <c r="H14">
        <v>2880.1716484458598</v>
      </c>
      <c r="I14">
        <v>2874.5908241679399</v>
      </c>
      <c r="J14">
        <v>2866.3735275143699</v>
      </c>
      <c r="K14">
        <v>2893.9514788976599</v>
      </c>
      <c r="L14">
        <v>2897.10305393726</v>
      </c>
      <c r="M14">
        <v>2764.0589502361704</v>
      </c>
      <c r="O14" s="5" t="s">
        <v>35</v>
      </c>
      <c r="P14" s="7">
        <v>2828</v>
      </c>
      <c r="Q14" s="7">
        <v>2873.7099780041899</v>
      </c>
      <c r="R14" s="7">
        <v>2921.9452544903602</v>
      </c>
      <c r="S14" s="7">
        <v>2948.07310370404</v>
      </c>
      <c r="T14" s="7">
        <v>2867.5572043500802</v>
      </c>
      <c r="U14" s="7">
        <v>2859.6189151645599</v>
      </c>
    </row>
    <row r="15" spans="5:21" x14ac:dyDescent="0.25">
      <c r="E15" t="s">
        <v>220</v>
      </c>
      <c r="F15" t="s">
        <v>501</v>
      </c>
      <c r="G15" t="s">
        <v>39</v>
      </c>
      <c r="H15">
        <v>2880.63939395529</v>
      </c>
      <c r="I15">
        <v>2882.0232129469</v>
      </c>
      <c r="J15">
        <v>2851.2978209269399</v>
      </c>
      <c r="K15">
        <v>2917.6710272412702</v>
      </c>
      <c r="L15">
        <v>2912.5801626889502</v>
      </c>
      <c r="M15">
        <v>2791</v>
      </c>
      <c r="O15" s="5" t="s">
        <v>36</v>
      </c>
      <c r="P15" s="7">
        <v>2810</v>
      </c>
      <c r="Q15" s="7">
        <v>2856.4148857666701</v>
      </c>
      <c r="R15" s="7">
        <v>2911.3802100796902</v>
      </c>
      <c r="S15" s="7">
        <v>2917.89234854496</v>
      </c>
      <c r="T15" s="7">
        <v>2872.91645862829</v>
      </c>
      <c r="U15" s="7">
        <v>2883.34130622764</v>
      </c>
    </row>
    <row r="16" spans="5:21" x14ac:dyDescent="0.25">
      <c r="E16" t="s">
        <v>221</v>
      </c>
      <c r="F16" t="s">
        <v>501</v>
      </c>
      <c r="G16" t="s">
        <v>40</v>
      </c>
      <c r="H16">
        <v>2932.6569852500402</v>
      </c>
      <c r="I16">
        <v>2908.4379336175498</v>
      </c>
      <c r="J16">
        <v>2901.75125072432</v>
      </c>
      <c r="K16">
        <v>2956.8414193015401</v>
      </c>
      <c r="L16">
        <v>2952.2841521745499</v>
      </c>
      <c r="M16">
        <v>2855</v>
      </c>
      <c r="O16" s="5" t="s">
        <v>37</v>
      </c>
      <c r="P16" s="7">
        <v>2803.6666666666665</v>
      </c>
      <c r="Q16" s="7">
        <v>2865.12690104592</v>
      </c>
      <c r="R16" s="7">
        <v>2911.81364918708</v>
      </c>
      <c r="S16" s="7">
        <v>2918.8015780661699</v>
      </c>
      <c r="T16" s="7">
        <v>2886.9572173660899</v>
      </c>
      <c r="U16" s="7">
        <v>2866.2845851071202</v>
      </c>
    </row>
    <row r="17" spans="5:21" x14ac:dyDescent="0.25">
      <c r="E17" t="s">
        <v>222</v>
      </c>
      <c r="F17" t="s">
        <v>501</v>
      </c>
      <c r="G17" t="s">
        <v>41</v>
      </c>
      <c r="H17">
        <v>2953.6486456686198</v>
      </c>
      <c r="I17">
        <v>2925.9360654905799</v>
      </c>
      <c r="J17">
        <v>2957.8286968176799</v>
      </c>
      <c r="K17">
        <v>2972.2689137443799</v>
      </c>
      <c r="L17">
        <v>2968.6260025963102</v>
      </c>
      <c r="M17">
        <v>2868</v>
      </c>
      <c r="O17" s="5" t="s">
        <v>38</v>
      </c>
      <c r="P17" s="7">
        <v>2764.0589502361704</v>
      </c>
      <c r="Q17" s="7">
        <v>2880.1716484458598</v>
      </c>
      <c r="R17" s="7">
        <v>2897.10305393726</v>
      </c>
      <c r="S17" s="7">
        <v>2893.9514788976599</v>
      </c>
      <c r="T17" s="7">
        <v>2874.5908241679399</v>
      </c>
      <c r="U17" s="7">
        <v>2866.3735275143699</v>
      </c>
    </row>
    <row r="18" spans="5:21" x14ac:dyDescent="0.25">
      <c r="E18" t="s">
        <v>223</v>
      </c>
      <c r="F18" t="s">
        <v>501</v>
      </c>
      <c r="G18" t="s">
        <v>43</v>
      </c>
      <c r="H18">
        <v>2959.0205359759102</v>
      </c>
      <c r="I18">
        <v>2945.13300337699</v>
      </c>
      <c r="J18">
        <v>3022.366194193</v>
      </c>
      <c r="K18">
        <v>2988.5846769956402</v>
      </c>
      <c r="L18">
        <v>2993.61222280433</v>
      </c>
      <c r="M18">
        <v>2887</v>
      </c>
      <c r="O18" s="5" t="s">
        <v>39</v>
      </c>
      <c r="P18" s="7">
        <v>2791</v>
      </c>
      <c r="Q18" s="7">
        <v>2880.63939395529</v>
      </c>
      <c r="R18" s="7">
        <v>2912.5801626889502</v>
      </c>
      <c r="S18" s="7">
        <v>2917.6710272412702</v>
      </c>
      <c r="T18" s="7">
        <v>2882.0232129469</v>
      </c>
      <c r="U18" s="7">
        <v>2851.2978209269399</v>
      </c>
    </row>
    <row r="19" spans="5:21" x14ac:dyDescent="0.25">
      <c r="E19" t="s">
        <v>224</v>
      </c>
      <c r="F19" t="s">
        <v>501</v>
      </c>
      <c r="G19" t="s">
        <v>44</v>
      </c>
      <c r="H19">
        <v>3006.47282787122</v>
      </c>
      <c r="I19">
        <v>2985.9788751942001</v>
      </c>
      <c r="J19">
        <v>3047.6630403928798</v>
      </c>
      <c r="K19">
        <v>3035.56821412112</v>
      </c>
      <c r="L19">
        <v>3040.5327684578401</v>
      </c>
      <c r="M19">
        <v>2943</v>
      </c>
      <c r="O19" s="5" t="s">
        <v>40</v>
      </c>
      <c r="P19" s="7">
        <v>2855</v>
      </c>
      <c r="Q19" s="7">
        <v>2932.6569852500402</v>
      </c>
      <c r="R19" s="7">
        <v>2952.2841521745499</v>
      </c>
      <c r="S19" s="7">
        <v>2956.8414193015401</v>
      </c>
      <c r="T19" s="7">
        <v>2908.4379336175498</v>
      </c>
      <c r="U19" s="7">
        <v>2901.75125072432</v>
      </c>
    </row>
    <row r="20" spans="5:21" x14ac:dyDescent="0.25">
      <c r="E20" t="s">
        <v>225</v>
      </c>
      <c r="F20" t="s">
        <v>501</v>
      </c>
      <c r="G20" t="s">
        <v>45</v>
      </c>
      <c r="H20">
        <v>3082.3924914801801</v>
      </c>
      <c r="I20">
        <v>3048.1909221385599</v>
      </c>
      <c r="J20">
        <v>3065.6267333514202</v>
      </c>
      <c r="K20">
        <v>3101.0211064530399</v>
      </c>
      <c r="L20">
        <v>3100.7100735854401</v>
      </c>
      <c r="M20">
        <v>3010</v>
      </c>
      <c r="O20" s="5" t="s">
        <v>41</v>
      </c>
      <c r="P20" s="7">
        <v>2868</v>
      </c>
      <c r="Q20" s="7">
        <v>2953.6486456686198</v>
      </c>
      <c r="R20" s="7">
        <v>2968.6260025963102</v>
      </c>
      <c r="S20" s="7">
        <v>2972.2689137443799</v>
      </c>
      <c r="T20" s="7">
        <v>2925.9360654905799</v>
      </c>
      <c r="U20" s="7">
        <v>2957.8286968176799</v>
      </c>
    </row>
    <row r="21" spans="5:21" x14ac:dyDescent="0.25">
      <c r="E21" t="s">
        <v>226</v>
      </c>
      <c r="F21" t="s">
        <v>501</v>
      </c>
      <c r="G21" t="s">
        <v>46</v>
      </c>
      <c r="H21">
        <v>3144.5644090491701</v>
      </c>
      <c r="I21">
        <v>3122.8426431713501</v>
      </c>
      <c r="J21">
        <v>3159.9008746995501</v>
      </c>
      <c r="K21">
        <v>3170.2829916115802</v>
      </c>
      <c r="L21">
        <v>3168.89838566545</v>
      </c>
      <c r="M21">
        <v>3041</v>
      </c>
      <c r="O21" s="5" t="s">
        <v>43</v>
      </c>
      <c r="P21" s="7">
        <v>2887</v>
      </c>
      <c r="Q21" s="7">
        <v>2959.0205359759102</v>
      </c>
      <c r="R21" s="7">
        <v>2993.61222280433</v>
      </c>
      <c r="S21" s="7">
        <v>2988.5846769956402</v>
      </c>
      <c r="T21" s="7">
        <v>2945.13300337699</v>
      </c>
      <c r="U21" s="7">
        <v>3022.366194193</v>
      </c>
    </row>
    <row r="22" spans="5:21" x14ac:dyDescent="0.25">
      <c r="E22" t="s">
        <v>227</v>
      </c>
      <c r="F22" t="s">
        <v>501</v>
      </c>
      <c r="G22" t="s">
        <v>47</v>
      </c>
      <c r="H22">
        <v>3307.7104164929401</v>
      </c>
      <c r="I22">
        <v>3247.8421657636</v>
      </c>
      <c r="J22">
        <v>3288.71375359082</v>
      </c>
      <c r="K22">
        <v>3293.8427517396999</v>
      </c>
      <c r="L22">
        <v>3300.2638051583599</v>
      </c>
      <c r="M22">
        <v>3166</v>
      </c>
      <c r="O22" s="5" t="s">
        <v>44</v>
      </c>
      <c r="P22" s="7">
        <v>2943</v>
      </c>
      <c r="Q22" s="7">
        <v>3006.47282787122</v>
      </c>
      <c r="R22" s="7">
        <v>3040.5327684578401</v>
      </c>
      <c r="S22" s="7">
        <v>3035.56821412112</v>
      </c>
      <c r="T22" s="7">
        <v>2985.9788751942001</v>
      </c>
      <c r="U22" s="7">
        <v>3047.6630403928798</v>
      </c>
    </row>
    <row r="23" spans="5:21" x14ac:dyDescent="0.25">
      <c r="E23" t="s">
        <v>228</v>
      </c>
      <c r="F23" t="s">
        <v>501</v>
      </c>
      <c r="G23" t="s">
        <v>49</v>
      </c>
      <c r="H23">
        <v>3425.5300100660402</v>
      </c>
      <c r="I23">
        <v>3340.1545401992998</v>
      </c>
      <c r="J23">
        <v>3298.0192608508</v>
      </c>
      <c r="K23">
        <v>3395.7577320072501</v>
      </c>
      <c r="L23">
        <v>3382.9568544773501</v>
      </c>
      <c r="M23">
        <v>3290</v>
      </c>
      <c r="O23" s="5" t="s">
        <v>45</v>
      </c>
      <c r="P23" s="7">
        <v>3010</v>
      </c>
      <c r="Q23" s="7">
        <v>3082.3924914801801</v>
      </c>
      <c r="R23" s="7">
        <v>3100.7100735854401</v>
      </c>
      <c r="S23" s="7">
        <v>3101.0211064530399</v>
      </c>
      <c r="T23" s="7">
        <v>3048.1909221385599</v>
      </c>
      <c r="U23" s="7">
        <v>3065.6267333514202</v>
      </c>
    </row>
    <row r="24" spans="5:21" x14ac:dyDescent="0.25">
      <c r="E24" t="s">
        <v>229</v>
      </c>
      <c r="F24" t="s">
        <v>501</v>
      </c>
      <c r="G24" t="s">
        <v>50</v>
      </c>
      <c r="H24">
        <v>3578.3845165430598</v>
      </c>
      <c r="I24">
        <v>3461.0296317945299</v>
      </c>
      <c r="J24">
        <v>3358.27779947402</v>
      </c>
      <c r="K24">
        <v>3534.0739091291898</v>
      </c>
      <c r="L24">
        <v>3518.7675691035802</v>
      </c>
      <c r="M24">
        <v>3415</v>
      </c>
      <c r="O24" s="5" t="s">
        <v>46</v>
      </c>
      <c r="P24" s="7">
        <v>3041</v>
      </c>
      <c r="Q24" s="7">
        <v>3144.5644090491701</v>
      </c>
      <c r="R24" s="7">
        <v>3168.89838566545</v>
      </c>
      <c r="S24" s="7">
        <v>3170.2829916115802</v>
      </c>
      <c r="T24" s="7">
        <v>3122.8426431713501</v>
      </c>
      <c r="U24" s="7">
        <v>3159.9008746995501</v>
      </c>
    </row>
    <row r="25" spans="5:21" x14ac:dyDescent="0.25">
      <c r="E25" t="s">
        <v>230</v>
      </c>
      <c r="F25" t="s">
        <v>501</v>
      </c>
      <c r="G25" t="s">
        <v>51</v>
      </c>
      <c r="H25">
        <v>3702.4883286333502</v>
      </c>
      <c r="I25">
        <v>3618.4816982390498</v>
      </c>
      <c r="J25">
        <v>3595.3158243800999</v>
      </c>
      <c r="K25">
        <v>3661.2396952992399</v>
      </c>
      <c r="L25">
        <v>3678.3866061676899</v>
      </c>
      <c r="M25">
        <v>3532</v>
      </c>
      <c r="O25" s="5" t="s">
        <v>47</v>
      </c>
      <c r="P25" s="7">
        <v>3166</v>
      </c>
      <c r="Q25" s="7">
        <v>3307.7104164929401</v>
      </c>
      <c r="R25" s="7">
        <v>3300.2638051583599</v>
      </c>
      <c r="S25" s="7">
        <v>3293.8427517396999</v>
      </c>
      <c r="T25" s="7">
        <v>3247.8421657636</v>
      </c>
      <c r="U25" s="7">
        <v>3288.71375359082</v>
      </c>
    </row>
    <row r="26" spans="5:21" x14ac:dyDescent="0.25">
      <c r="E26" t="s">
        <v>231</v>
      </c>
      <c r="F26" t="s">
        <v>501</v>
      </c>
      <c r="G26" t="s">
        <v>53</v>
      </c>
      <c r="H26">
        <v>4414.9836879247796</v>
      </c>
      <c r="I26">
        <v>4069.8696302725102</v>
      </c>
      <c r="J26">
        <v>3902.6666951826001</v>
      </c>
      <c r="K26">
        <v>4293.1106301883501</v>
      </c>
      <c r="L26">
        <v>4327.8461841746002</v>
      </c>
      <c r="M26">
        <v>4054</v>
      </c>
      <c r="O26" s="5" t="s">
        <v>49</v>
      </c>
      <c r="P26" s="7">
        <v>3290</v>
      </c>
      <c r="Q26" s="7">
        <v>3425.5300100660402</v>
      </c>
      <c r="R26" s="7">
        <v>3382.9568544773501</v>
      </c>
      <c r="S26" s="7">
        <v>3395.7577320072501</v>
      </c>
      <c r="T26" s="7">
        <v>3340.1545401992998</v>
      </c>
      <c r="U26" s="7">
        <v>3298.0192608508</v>
      </c>
    </row>
    <row r="27" spans="5:21" x14ac:dyDescent="0.25">
      <c r="E27" t="s">
        <v>232</v>
      </c>
      <c r="F27" t="s">
        <v>501</v>
      </c>
      <c r="G27" t="s">
        <v>54</v>
      </c>
      <c r="H27">
        <v>4568.0238407217603</v>
      </c>
      <c r="I27">
        <v>4211.1211693158702</v>
      </c>
      <c r="J27">
        <v>4380.12187356705</v>
      </c>
      <c r="K27">
        <v>4472.6531580574501</v>
      </c>
      <c r="L27">
        <v>4484.3514907755698</v>
      </c>
      <c r="M27">
        <v>4179</v>
      </c>
      <c r="O27" s="5" t="s">
        <v>50</v>
      </c>
      <c r="P27" s="7">
        <v>3415</v>
      </c>
      <c r="Q27" s="7">
        <v>3578.3845165430598</v>
      </c>
      <c r="R27" s="7">
        <v>3518.7675691035802</v>
      </c>
      <c r="S27" s="7">
        <v>3534.0739091291898</v>
      </c>
      <c r="T27" s="7">
        <v>3461.0296317945299</v>
      </c>
      <c r="U27" s="7">
        <v>3358.27779947402</v>
      </c>
    </row>
    <row r="28" spans="5:21" x14ac:dyDescent="0.25">
      <c r="E28" t="s">
        <v>233</v>
      </c>
      <c r="F28" t="s">
        <v>501</v>
      </c>
      <c r="G28" t="s">
        <v>55</v>
      </c>
      <c r="H28">
        <v>4588.2120433285399</v>
      </c>
      <c r="I28">
        <v>4273.3648965718903</v>
      </c>
      <c r="J28">
        <v>4498.6288223053898</v>
      </c>
      <c r="K28">
        <v>4508.2105636104397</v>
      </c>
      <c r="L28">
        <v>4492.9804137645897</v>
      </c>
      <c r="M28">
        <v>4181</v>
      </c>
      <c r="O28" s="5" t="s">
        <v>51</v>
      </c>
      <c r="P28" s="7">
        <v>3532</v>
      </c>
      <c r="Q28" s="7">
        <v>3702.4883286333502</v>
      </c>
      <c r="R28" s="7">
        <v>3678.3866061676899</v>
      </c>
      <c r="S28" s="7">
        <v>3661.2396952992399</v>
      </c>
      <c r="T28" s="7">
        <v>3618.4816982390498</v>
      </c>
      <c r="U28" s="7">
        <v>3595.3158243800999</v>
      </c>
    </row>
    <row r="29" spans="5:21" x14ac:dyDescent="0.25">
      <c r="E29" t="s">
        <v>234</v>
      </c>
      <c r="F29" t="s">
        <v>501</v>
      </c>
      <c r="G29" t="s">
        <v>56</v>
      </c>
      <c r="H29">
        <v>4623.2509364473299</v>
      </c>
      <c r="I29">
        <v>4342.1060543021003</v>
      </c>
      <c r="J29">
        <v>4542.73361514319</v>
      </c>
      <c r="K29">
        <v>4549.4837845205602</v>
      </c>
      <c r="L29">
        <v>4540.8277624109896</v>
      </c>
      <c r="M29">
        <v>4156</v>
      </c>
      <c r="O29" s="5" t="s">
        <v>53</v>
      </c>
      <c r="P29" s="7">
        <v>4054</v>
      </c>
      <c r="Q29" s="7">
        <v>4414.9836879247796</v>
      </c>
      <c r="R29" s="7">
        <v>4327.8461841746002</v>
      </c>
      <c r="S29" s="7">
        <v>4293.1106301883501</v>
      </c>
      <c r="T29" s="7">
        <v>4069.8696302725102</v>
      </c>
      <c r="U29" s="7">
        <v>3902.6666951826001</v>
      </c>
    </row>
    <row r="30" spans="5:21" x14ac:dyDescent="0.25">
      <c r="E30" t="s">
        <v>235</v>
      </c>
      <c r="F30" t="s">
        <v>501</v>
      </c>
      <c r="G30" t="s">
        <v>57</v>
      </c>
      <c r="H30">
        <v>4764.2985119721097</v>
      </c>
      <c r="I30">
        <v>4519.6238612242496</v>
      </c>
      <c r="J30">
        <v>4714.7635635407096</v>
      </c>
      <c r="K30">
        <v>4693.9523521375704</v>
      </c>
      <c r="L30">
        <v>4692.4338314334</v>
      </c>
      <c r="M30">
        <v>4128</v>
      </c>
      <c r="O30" s="5" t="s">
        <v>54</v>
      </c>
      <c r="P30" s="7">
        <v>4179</v>
      </c>
      <c r="Q30" s="7">
        <v>4568.0238407217603</v>
      </c>
      <c r="R30" s="7">
        <v>4484.3514907755698</v>
      </c>
      <c r="S30" s="7">
        <v>4472.6531580574501</v>
      </c>
      <c r="T30" s="7">
        <v>4211.1211693158702</v>
      </c>
      <c r="U30" s="7">
        <v>4380.12187356705</v>
      </c>
    </row>
    <row r="31" spans="5:21" x14ac:dyDescent="0.25">
      <c r="E31" t="s">
        <v>236</v>
      </c>
      <c r="F31" t="s">
        <v>501</v>
      </c>
      <c r="G31" t="s">
        <v>58</v>
      </c>
      <c r="H31">
        <v>4815.7187987500802</v>
      </c>
      <c r="I31">
        <v>4611.0723415528801</v>
      </c>
      <c r="J31">
        <v>4761.1953923867504</v>
      </c>
      <c r="K31">
        <v>4745.2796250016099</v>
      </c>
      <c r="L31">
        <v>4746.6631559584303</v>
      </c>
      <c r="M31">
        <v>4224</v>
      </c>
      <c r="O31" s="5" t="s">
        <v>55</v>
      </c>
      <c r="P31" s="7">
        <v>4181</v>
      </c>
      <c r="Q31" s="7">
        <v>4588.2120433285399</v>
      </c>
      <c r="R31" s="7">
        <v>4492.9804137645897</v>
      </c>
      <c r="S31" s="7">
        <v>4508.2105636104397</v>
      </c>
      <c r="T31" s="7">
        <v>4273.3648965718903</v>
      </c>
      <c r="U31" s="7">
        <v>4498.6288223053898</v>
      </c>
    </row>
    <row r="32" spans="5:21" x14ac:dyDescent="0.25">
      <c r="E32" t="s">
        <v>237</v>
      </c>
      <c r="F32" t="s">
        <v>501</v>
      </c>
      <c r="G32" t="s">
        <v>59</v>
      </c>
      <c r="H32">
        <v>4834.5897007213498</v>
      </c>
      <c r="I32">
        <v>4614.66517011824</v>
      </c>
      <c r="J32">
        <v>4694.2285065999504</v>
      </c>
      <c r="K32">
        <v>4767.6415490732297</v>
      </c>
      <c r="L32">
        <v>4750.80730499521</v>
      </c>
      <c r="M32">
        <v>4234</v>
      </c>
      <c r="O32" s="5" t="s">
        <v>56</v>
      </c>
      <c r="P32" s="7">
        <v>4156</v>
      </c>
      <c r="Q32" s="7">
        <v>4623.2509364473299</v>
      </c>
      <c r="R32" s="7">
        <v>4540.8277624109896</v>
      </c>
      <c r="S32" s="7">
        <v>4549.4837845205602</v>
      </c>
      <c r="T32" s="7">
        <v>4342.1060543021003</v>
      </c>
      <c r="U32" s="7">
        <v>4542.73361514319</v>
      </c>
    </row>
    <row r="33" spans="5:21" x14ac:dyDescent="0.25">
      <c r="E33" t="s">
        <v>238</v>
      </c>
      <c r="F33" t="s">
        <v>501</v>
      </c>
      <c r="G33" t="s">
        <v>60</v>
      </c>
      <c r="H33">
        <v>4858.3578002369604</v>
      </c>
      <c r="I33">
        <v>4612.4935231821801</v>
      </c>
      <c r="J33">
        <v>4647.3676174029897</v>
      </c>
      <c r="K33">
        <v>4766.7724899383102</v>
      </c>
      <c r="L33">
        <v>4773.3439476601397</v>
      </c>
      <c r="M33">
        <v>4254</v>
      </c>
      <c r="O33" s="5" t="s">
        <v>57</v>
      </c>
      <c r="P33" s="7">
        <v>4128</v>
      </c>
      <c r="Q33" s="7">
        <v>4764.2985119721097</v>
      </c>
      <c r="R33" s="7">
        <v>4692.4338314334</v>
      </c>
      <c r="S33" s="7">
        <v>4693.9523521375704</v>
      </c>
      <c r="T33" s="7">
        <v>4519.6238612242496</v>
      </c>
      <c r="U33" s="7">
        <v>4714.7635635407096</v>
      </c>
    </row>
    <row r="34" spans="5:21" x14ac:dyDescent="0.25">
      <c r="E34" t="s">
        <v>239</v>
      </c>
      <c r="F34" t="s">
        <v>501</v>
      </c>
      <c r="G34" t="s">
        <v>62</v>
      </c>
      <c r="H34">
        <v>4831.1100817547804</v>
      </c>
      <c r="I34">
        <v>4642.8537694125498</v>
      </c>
      <c r="J34">
        <v>4685.53758415019</v>
      </c>
      <c r="K34">
        <v>4685.8498820165696</v>
      </c>
      <c r="L34">
        <v>4739.9272450323497</v>
      </c>
      <c r="M34">
        <v>4097</v>
      </c>
      <c r="O34" s="5" t="s">
        <v>58</v>
      </c>
      <c r="P34" s="7">
        <v>4224</v>
      </c>
      <c r="Q34" s="7">
        <v>4815.7187987500802</v>
      </c>
      <c r="R34" s="7">
        <v>4746.6631559584303</v>
      </c>
      <c r="S34" s="7">
        <v>4745.2796250016099</v>
      </c>
      <c r="T34" s="7">
        <v>4611.0723415528801</v>
      </c>
      <c r="U34" s="7">
        <v>4761.1953923867504</v>
      </c>
    </row>
    <row r="35" spans="5:21" x14ac:dyDescent="0.25">
      <c r="E35" t="s">
        <v>240</v>
      </c>
      <c r="F35" t="s">
        <v>501</v>
      </c>
      <c r="G35" t="s">
        <v>63</v>
      </c>
      <c r="H35">
        <v>4858.1566859842096</v>
      </c>
      <c r="I35">
        <v>4628.2155805847497</v>
      </c>
      <c r="J35">
        <v>4697.8847069982503</v>
      </c>
      <c r="K35">
        <v>4771.0047094379597</v>
      </c>
      <c r="L35">
        <v>4774.3890712934699</v>
      </c>
      <c r="M35">
        <v>4205</v>
      </c>
      <c r="O35" s="5" t="s">
        <v>59</v>
      </c>
      <c r="P35" s="7">
        <v>4234</v>
      </c>
      <c r="Q35" s="7">
        <v>4834.5897007213498</v>
      </c>
      <c r="R35" s="7">
        <v>4750.80730499521</v>
      </c>
      <c r="S35" s="7">
        <v>4767.6415490732297</v>
      </c>
      <c r="T35" s="7">
        <v>4614.66517011824</v>
      </c>
      <c r="U35" s="7">
        <v>4694.2285065999504</v>
      </c>
    </row>
    <row r="36" spans="5:21" x14ac:dyDescent="0.25">
      <c r="E36" t="s">
        <v>241</v>
      </c>
      <c r="F36" t="s">
        <v>501</v>
      </c>
      <c r="G36" t="s">
        <v>64</v>
      </c>
      <c r="H36">
        <v>4715.8154824946296</v>
      </c>
      <c r="I36">
        <v>4551.4100518126497</v>
      </c>
      <c r="J36">
        <v>4700.2591193131602</v>
      </c>
      <c r="K36">
        <v>4635.0488826418296</v>
      </c>
      <c r="L36">
        <v>4640.0222518473302</v>
      </c>
      <c r="M36">
        <v>4233</v>
      </c>
      <c r="O36" s="5" t="s">
        <v>60</v>
      </c>
      <c r="P36" s="7">
        <v>4254</v>
      </c>
      <c r="Q36" s="7">
        <v>4858.3578002369604</v>
      </c>
      <c r="R36" s="7">
        <v>4773.3439476601397</v>
      </c>
      <c r="S36" s="7">
        <v>4766.7724899383102</v>
      </c>
      <c r="T36" s="7">
        <v>4612.4935231821801</v>
      </c>
      <c r="U36" s="7">
        <v>4647.3676174029897</v>
      </c>
    </row>
    <row r="37" spans="5:21" x14ac:dyDescent="0.25">
      <c r="E37" t="s">
        <v>242</v>
      </c>
      <c r="F37" t="s">
        <v>501</v>
      </c>
      <c r="G37" t="s">
        <v>65</v>
      </c>
      <c r="H37">
        <v>4652.0875126477404</v>
      </c>
      <c r="I37">
        <v>4491.5949592062598</v>
      </c>
      <c r="J37">
        <v>4649.5425282440601</v>
      </c>
      <c r="K37">
        <v>4574.8790320676299</v>
      </c>
      <c r="L37">
        <v>4581.2887774610199</v>
      </c>
      <c r="M37">
        <v>4239</v>
      </c>
      <c r="O37" s="5" t="s">
        <v>62</v>
      </c>
      <c r="P37" s="7">
        <v>4097</v>
      </c>
      <c r="Q37" s="7">
        <v>4831.1100817547804</v>
      </c>
      <c r="R37" s="7">
        <v>4739.9272450323497</v>
      </c>
      <c r="S37" s="7">
        <v>4685.8498820165696</v>
      </c>
      <c r="T37" s="7">
        <v>4642.8537694125498</v>
      </c>
      <c r="U37" s="7">
        <v>4685.53758415019</v>
      </c>
    </row>
    <row r="38" spans="5:21" x14ac:dyDescent="0.25">
      <c r="E38" t="s">
        <v>243</v>
      </c>
      <c r="F38" t="s">
        <v>501</v>
      </c>
      <c r="G38" t="s">
        <v>67</v>
      </c>
      <c r="H38">
        <v>4641.2729908374404</v>
      </c>
      <c r="I38">
        <v>4508.5796829438304</v>
      </c>
      <c r="J38">
        <v>4595.3728597846202</v>
      </c>
      <c r="K38">
        <v>4599.3059068172297</v>
      </c>
      <c r="L38">
        <v>4605.711808258</v>
      </c>
      <c r="M38">
        <v>4379</v>
      </c>
      <c r="O38" s="5" t="s">
        <v>63</v>
      </c>
      <c r="P38" s="7">
        <v>4205</v>
      </c>
      <c r="Q38" s="7">
        <v>4858.1566859842096</v>
      </c>
      <c r="R38" s="7">
        <v>4774.3890712934699</v>
      </c>
      <c r="S38" s="7">
        <v>4771.0047094379597</v>
      </c>
      <c r="T38" s="7">
        <v>4628.2155805847497</v>
      </c>
      <c r="U38" s="7">
        <v>4697.8847069982503</v>
      </c>
    </row>
    <row r="39" spans="5:21" x14ac:dyDescent="0.25">
      <c r="E39" t="s">
        <v>244</v>
      </c>
      <c r="F39" t="s">
        <v>501</v>
      </c>
      <c r="G39" t="s">
        <v>68</v>
      </c>
      <c r="H39">
        <v>4591.8304410292903</v>
      </c>
      <c r="I39">
        <v>4482.1020573923997</v>
      </c>
      <c r="J39">
        <v>4620.5760747915501</v>
      </c>
      <c r="K39">
        <v>4571.1080317384703</v>
      </c>
      <c r="L39">
        <v>4577.4713265649098</v>
      </c>
      <c r="M39">
        <v>4370</v>
      </c>
      <c r="O39" s="5" t="s">
        <v>64</v>
      </c>
      <c r="P39" s="7">
        <v>4233</v>
      </c>
      <c r="Q39" s="7">
        <v>4715.8154824946296</v>
      </c>
      <c r="R39" s="7">
        <v>4640.0222518473302</v>
      </c>
      <c r="S39" s="7">
        <v>4635.0488826418296</v>
      </c>
      <c r="T39" s="7">
        <v>4551.4100518126497</v>
      </c>
      <c r="U39" s="7">
        <v>4700.2591193131602</v>
      </c>
    </row>
    <row r="40" spans="5:21" x14ac:dyDescent="0.25">
      <c r="E40" t="s">
        <v>245</v>
      </c>
      <c r="F40" t="s">
        <v>501</v>
      </c>
      <c r="G40" t="s">
        <v>69</v>
      </c>
      <c r="H40">
        <v>4526.61914990883</v>
      </c>
      <c r="I40">
        <v>4425.3728804849598</v>
      </c>
      <c r="J40">
        <v>4500.7837193109799</v>
      </c>
      <c r="K40">
        <v>4500.40752799455</v>
      </c>
      <c r="L40">
        <v>4506.8146405235302</v>
      </c>
      <c r="M40">
        <v>4224</v>
      </c>
      <c r="O40" s="5" t="s">
        <v>65</v>
      </c>
      <c r="P40" s="7">
        <v>4239</v>
      </c>
      <c r="Q40" s="7">
        <v>4652.0875126477404</v>
      </c>
      <c r="R40" s="7">
        <v>4581.2887774610199</v>
      </c>
      <c r="S40" s="7">
        <v>4574.8790320676299</v>
      </c>
      <c r="T40" s="7">
        <v>4491.5949592062598</v>
      </c>
      <c r="U40" s="7">
        <v>4649.5425282440601</v>
      </c>
    </row>
    <row r="41" spans="5:21" x14ac:dyDescent="0.25">
      <c r="E41" t="s">
        <v>246</v>
      </c>
      <c r="F41" t="s">
        <v>501</v>
      </c>
      <c r="G41" t="s">
        <v>70</v>
      </c>
      <c r="H41">
        <v>4496.0233075743499</v>
      </c>
      <c r="I41">
        <v>4393.9678954297096</v>
      </c>
      <c r="J41">
        <v>4390.9747035464397</v>
      </c>
      <c r="K41">
        <v>4498.9556194511197</v>
      </c>
      <c r="L41">
        <v>4505.5999057571898</v>
      </c>
      <c r="M41">
        <v>4147</v>
      </c>
      <c r="O41" s="5" t="s">
        <v>67</v>
      </c>
      <c r="P41" s="7">
        <v>4379</v>
      </c>
      <c r="Q41" s="7">
        <v>4641.2729908374404</v>
      </c>
      <c r="R41" s="7">
        <v>4605.711808258</v>
      </c>
      <c r="S41" s="7">
        <v>4599.3059068172297</v>
      </c>
      <c r="T41" s="7">
        <v>4508.5796829438304</v>
      </c>
      <c r="U41" s="7">
        <v>4595.3728597846202</v>
      </c>
    </row>
    <row r="42" spans="5:21" x14ac:dyDescent="0.25">
      <c r="E42" t="s">
        <v>247</v>
      </c>
      <c r="F42" t="s">
        <v>501</v>
      </c>
      <c r="G42" t="s">
        <v>72</v>
      </c>
      <c r="H42">
        <v>4307.9452617860397</v>
      </c>
      <c r="I42">
        <v>4192.8553311321602</v>
      </c>
      <c r="J42">
        <v>4266.8574453982001</v>
      </c>
      <c r="K42">
        <v>4345.8125117466298</v>
      </c>
      <c r="L42">
        <v>4344.1513034881</v>
      </c>
      <c r="M42">
        <v>3951</v>
      </c>
      <c r="O42" s="5" t="s">
        <v>68</v>
      </c>
      <c r="P42" s="7">
        <v>4370</v>
      </c>
      <c r="Q42" s="7">
        <v>4591.8304410292903</v>
      </c>
      <c r="R42" s="7">
        <v>4577.4713265649098</v>
      </c>
      <c r="S42" s="7">
        <v>4571.1080317384703</v>
      </c>
      <c r="T42" s="7">
        <v>4482.1020573923997</v>
      </c>
      <c r="U42" s="7">
        <v>4620.5760747915501</v>
      </c>
    </row>
    <row r="43" spans="5:21" x14ac:dyDescent="0.25">
      <c r="E43" t="s">
        <v>248</v>
      </c>
      <c r="F43" t="s">
        <v>501</v>
      </c>
      <c r="G43" t="s">
        <v>73</v>
      </c>
      <c r="H43">
        <v>4243.5917956298599</v>
      </c>
      <c r="I43">
        <v>4157.0740743161195</v>
      </c>
      <c r="J43">
        <v>4254.5660221990202</v>
      </c>
      <c r="K43">
        <v>4270.2775984294603</v>
      </c>
      <c r="L43">
        <v>4277.5972373447503</v>
      </c>
      <c r="M43">
        <v>3911</v>
      </c>
      <c r="O43" s="5" t="s">
        <v>69</v>
      </c>
      <c r="P43" s="7">
        <v>4224</v>
      </c>
      <c r="Q43" s="7">
        <v>4526.61914990883</v>
      </c>
      <c r="R43" s="7">
        <v>4506.8146405235302</v>
      </c>
      <c r="S43" s="7">
        <v>4500.40752799455</v>
      </c>
      <c r="T43" s="7">
        <v>4425.3728804849598</v>
      </c>
      <c r="U43" s="7">
        <v>4500.7837193109799</v>
      </c>
    </row>
    <row r="44" spans="5:21" x14ac:dyDescent="0.25">
      <c r="E44" t="s">
        <v>249</v>
      </c>
      <c r="F44" t="s">
        <v>501</v>
      </c>
      <c r="G44" t="s">
        <v>74</v>
      </c>
      <c r="H44">
        <v>4202.1064225049404</v>
      </c>
      <c r="I44">
        <v>4114.0045930492597</v>
      </c>
      <c r="J44">
        <v>4280.7973099067103</v>
      </c>
      <c r="K44">
        <v>4236.1596806070002</v>
      </c>
      <c r="L44">
        <v>4244.0345566948799</v>
      </c>
      <c r="M44">
        <v>3882</v>
      </c>
      <c r="O44" s="5" t="s">
        <v>70</v>
      </c>
      <c r="P44" s="7">
        <v>4147</v>
      </c>
      <c r="Q44" s="7">
        <v>4496.0233075743499</v>
      </c>
      <c r="R44" s="7">
        <v>4505.5999057571898</v>
      </c>
      <c r="S44" s="7">
        <v>4498.9556194511197</v>
      </c>
      <c r="T44" s="7">
        <v>4393.9678954297096</v>
      </c>
      <c r="U44" s="7">
        <v>4390.9747035464397</v>
      </c>
    </row>
    <row r="45" spans="5:21" x14ac:dyDescent="0.25">
      <c r="E45" t="s">
        <v>250</v>
      </c>
      <c r="F45" t="s">
        <v>501</v>
      </c>
      <c r="G45" t="s">
        <v>75</v>
      </c>
      <c r="H45">
        <v>4121.3658275326297</v>
      </c>
      <c r="I45">
        <v>4076.3801747715702</v>
      </c>
      <c r="J45">
        <v>4286.69363127837</v>
      </c>
      <c r="K45">
        <v>4153.2553736943</v>
      </c>
      <c r="L45">
        <v>4159.9059559706502</v>
      </c>
      <c r="M45">
        <v>3953</v>
      </c>
      <c r="O45" s="5" t="s">
        <v>72</v>
      </c>
      <c r="P45" s="7">
        <v>3951</v>
      </c>
      <c r="Q45" s="7">
        <v>4307.9452617860397</v>
      </c>
      <c r="R45" s="7">
        <v>4344.1513034881</v>
      </c>
      <c r="S45" s="7">
        <v>4345.8125117466298</v>
      </c>
      <c r="T45" s="7">
        <v>4192.8553311321602</v>
      </c>
      <c r="U45" s="7">
        <v>4266.8574453982001</v>
      </c>
    </row>
    <row r="46" spans="5:21" x14ac:dyDescent="0.25">
      <c r="E46" t="s">
        <v>251</v>
      </c>
      <c r="F46" t="s">
        <v>501</v>
      </c>
      <c r="G46" t="s">
        <v>76</v>
      </c>
      <c r="H46">
        <v>3998.6234903964701</v>
      </c>
      <c r="I46">
        <v>3984.4316138127101</v>
      </c>
      <c r="J46">
        <v>4119.7166673009797</v>
      </c>
      <c r="K46">
        <v>4093.5096971099802</v>
      </c>
      <c r="L46">
        <v>4101.8570432751603</v>
      </c>
      <c r="M46">
        <v>4066</v>
      </c>
      <c r="O46" s="5" t="s">
        <v>73</v>
      </c>
      <c r="P46" s="7">
        <v>3911</v>
      </c>
      <c r="Q46" s="7">
        <v>4243.5917956298599</v>
      </c>
      <c r="R46" s="7">
        <v>4277.5972373447503</v>
      </c>
      <c r="S46" s="7">
        <v>4270.2775984294603</v>
      </c>
      <c r="T46" s="7">
        <v>4157.0740743161195</v>
      </c>
      <c r="U46" s="7">
        <v>4254.5660221990202</v>
      </c>
    </row>
    <row r="47" spans="5:21" x14ac:dyDescent="0.25">
      <c r="E47" t="s">
        <v>252</v>
      </c>
      <c r="F47" t="s">
        <v>501</v>
      </c>
      <c r="G47" t="s">
        <v>77</v>
      </c>
      <c r="H47">
        <v>3970.29348422471</v>
      </c>
      <c r="I47">
        <v>3975.6722941893599</v>
      </c>
      <c r="J47">
        <v>4127.1923689901696</v>
      </c>
      <c r="K47">
        <v>4069.2140744664098</v>
      </c>
      <c r="L47">
        <v>4076.4866139502201</v>
      </c>
      <c r="M47">
        <v>4011</v>
      </c>
      <c r="O47" s="5" t="s">
        <v>74</v>
      </c>
      <c r="P47" s="7">
        <v>3882</v>
      </c>
      <c r="Q47" s="7">
        <v>4202.1064225049404</v>
      </c>
      <c r="R47" s="7">
        <v>4244.0345566948799</v>
      </c>
      <c r="S47" s="7">
        <v>4236.1596806070002</v>
      </c>
      <c r="T47" s="7">
        <v>4114.0045930492597</v>
      </c>
      <c r="U47" s="7">
        <v>4280.7973099067103</v>
      </c>
    </row>
    <row r="48" spans="5:21" x14ac:dyDescent="0.25">
      <c r="E48" t="s">
        <v>253</v>
      </c>
      <c r="F48" t="s">
        <v>501</v>
      </c>
      <c r="G48" t="s">
        <v>78</v>
      </c>
      <c r="H48">
        <v>3951.5572229962399</v>
      </c>
      <c r="I48">
        <v>3946.4206221035001</v>
      </c>
      <c r="J48">
        <v>4109.0406178206904</v>
      </c>
      <c r="K48">
        <v>4031.9469497345899</v>
      </c>
      <c r="L48">
        <v>4038.9416228708101</v>
      </c>
      <c r="M48">
        <v>3939</v>
      </c>
      <c r="O48" s="5" t="s">
        <v>75</v>
      </c>
      <c r="P48" s="7">
        <v>3953</v>
      </c>
      <c r="Q48" s="7">
        <v>4121.3658275326297</v>
      </c>
      <c r="R48" s="7">
        <v>4159.9059559706502</v>
      </c>
      <c r="S48" s="7">
        <v>4153.2553736943</v>
      </c>
      <c r="T48" s="7">
        <v>4076.3801747715702</v>
      </c>
      <c r="U48" s="7">
        <v>4286.69363127837</v>
      </c>
    </row>
    <row r="49" spans="5:21" x14ac:dyDescent="0.25">
      <c r="E49" t="s">
        <v>254</v>
      </c>
      <c r="F49" t="s">
        <v>501</v>
      </c>
      <c r="G49" t="s">
        <v>79</v>
      </c>
      <c r="H49">
        <v>3924.1754859112598</v>
      </c>
      <c r="I49">
        <v>3925.6176375175</v>
      </c>
      <c r="J49">
        <v>4011.8474495567102</v>
      </c>
      <c r="K49">
        <v>4000.90183831492</v>
      </c>
      <c r="L49">
        <v>4007.70158511314</v>
      </c>
      <c r="M49">
        <v>3884</v>
      </c>
      <c r="O49" s="5" t="s">
        <v>76</v>
      </c>
      <c r="P49" s="7">
        <v>4066</v>
      </c>
      <c r="Q49" s="7">
        <v>3998.6234903964701</v>
      </c>
      <c r="R49" s="7">
        <v>4101.8570432751603</v>
      </c>
      <c r="S49" s="7">
        <v>4093.5096971099802</v>
      </c>
      <c r="T49" s="7">
        <v>3984.4316138127101</v>
      </c>
      <c r="U49" s="7">
        <v>4119.7166673009797</v>
      </c>
    </row>
    <row r="50" spans="5:21" x14ac:dyDescent="0.25">
      <c r="E50" t="s">
        <v>255</v>
      </c>
      <c r="F50" t="s">
        <v>501</v>
      </c>
      <c r="G50" t="s">
        <v>81</v>
      </c>
      <c r="H50">
        <v>3852.7871301578598</v>
      </c>
      <c r="I50">
        <v>3845.88867952791</v>
      </c>
      <c r="J50">
        <v>3903.3693145832899</v>
      </c>
      <c r="K50">
        <v>3858.76968262331</v>
      </c>
      <c r="L50">
        <v>3865.1986764530802</v>
      </c>
      <c r="M50">
        <v>3637</v>
      </c>
      <c r="O50" s="5" t="s">
        <v>77</v>
      </c>
      <c r="P50" s="7">
        <v>4011</v>
      </c>
      <c r="Q50" s="7">
        <v>3970.29348422471</v>
      </c>
      <c r="R50" s="7">
        <v>4076.4866139502201</v>
      </c>
      <c r="S50" s="7">
        <v>4069.2140744664098</v>
      </c>
      <c r="T50" s="7">
        <v>3975.6722941893599</v>
      </c>
      <c r="U50" s="7">
        <v>4127.1923689901696</v>
      </c>
    </row>
    <row r="51" spans="5:21" x14ac:dyDescent="0.25">
      <c r="E51" t="s">
        <v>256</v>
      </c>
      <c r="F51" t="s">
        <v>501</v>
      </c>
      <c r="G51" t="s">
        <v>82</v>
      </c>
      <c r="H51">
        <v>3825.8757341609398</v>
      </c>
      <c r="I51">
        <v>3830.2191753715001</v>
      </c>
      <c r="J51">
        <v>3760.3919412258401</v>
      </c>
      <c r="K51">
        <v>3848.12898947125</v>
      </c>
      <c r="L51">
        <v>3855.2003424746199</v>
      </c>
      <c r="M51">
        <v>3626</v>
      </c>
      <c r="O51" s="5" t="s">
        <v>78</v>
      </c>
      <c r="P51" s="7">
        <v>3939</v>
      </c>
      <c r="Q51" s="7">
        <v>3951.5572229962399</v>
      </c>
      <c r="R51" s="7">
        <v>4038.9416228708101</v>
      </c>
      <c r="S51" s="7">
        <v>4031.9469497345899</v>
      </c>
      <c r="T51" s="7">
        <v>3946.4206221035001</v>
      </c>
      <c r="U51" s="7">
        <v>4109.0406178206904</v>
      </c>
    </row>
    <row r="52" spans="5:21" x14ac:dyDescent="0.25">
      <c r="E52" t="s">
        <v>257</v>
      </c>
      <c r="F52" t="s">
        <v>501</v>
      </c>
      <c r="G52" t="s">
        <v>83</v>
      </c>
      <c r="H52">
        <v>3804.11080973244</v>
      </c>
      <c r="I52">
        <v>3809.4741018403502</v>
      </c>
      <c r="J52">
        <v>3771.6690899699001</v>
      </c>
      <c r="K52">
        <v>3843.0564162637302</v>
      </c>
      <c r="L52">
        <v>3850.1470994577699</v>
      </c>
      <c r="M52">
        <v>3670</v>
      </c>
      <c r="O52" s="5" t="s">
        <v>79</v>
      </c>
      <c r="P52" s="7">
        <v>3884</v>
      </c>
      <c r="Q52" s="7">
        <v>3924.1754859112598</v>
      </c>
      <c r="R52" s="7">
        <v>4007.70158511314</v>
      </c>
      <c r="S52" s="7">
        <v>4000.90183831492</v>
      </c>
      <c r="T52" s="7">
        <v>3925.6176375175</v>
      </c>
      <c r="U52" s="7">
        <v>4011.8474495567102</v>
      </c>
    </row>
    <row r="53" spans="5:21" x14ac:dyDescent="0.25">
      <c r="E53" t="s">
        <v>258</v>
      </c>
      <c r="F53" t="s">
        <v>501</v>
      </c>
      <c r="G53" t="s">
        <v>84</v>
      </c>
      <c r="H53">
        <v>3826.8643449369301</v>
      </c>
      <c r="I53">
        <v>3807.5828557822701</v>
      </c>
      <c r="J53">
        <v>3793.78440996376</v>
      </c>
      <c r="K53">
        <v>3845.3546161151899</v>
      </c>
      <c r="L53">
        <v>3865.0749778140898</v>
      </c>
      <c r="M53">
        <v>3752</v>
      </c>
      <c r="O53" s="5" t="s">
        <v>81</v>
      </c>
      <c r="P53" s="7">
        <v>3637</v>
      </c>
      <c r="Q53" s="7">
        <v>3852.7871301578598</v>
      </c>
      <c r="R53" s="7">
        <v>3865.1986764530802</v>
      </c>
      <c r="S53" s="7">
        <v>3858.76968262331</v>
      </c>
      <c r="T53" s="7">
        <v>3845.88867952791</v>
      </c>
      <c r="U53" s="7">
        <v>3903.3693145832899</v>
      </c>
    </row>
    <row r="54" spans="5:21" x14ac:dyDescent="0.25">
      <c r="E54" t="s">
        <v>259</v>
      </c>
      <c r="F54" t="s">
        <v>501</v>
      </c>
      <c r="G54" t="s">
        <v>85</v>
      </c>
      <c r="H54">
        <v>3915.6481902594701</v>
      </c>
      <c r="I54">
        <v>3779.1552501129299</v>
      </c>
      <c r="J54">
        <v>3747.6273584251398</v>
      </c>
      <c r="K54">
        <v>3922.77330438739</v>
      </c>
      <c r="L54">
        <v>3934.6888059523299</v>
      </c>
      <c r="M54">
        <v>3838</v>
      </c>
      <c r="O54" s="5" t="s">
        <v>82</v>
      </c>
      <c r="P54" s="7">
        <v>3626</v>
      </c>
      <c r="Q54" s="7">
        <v>3825.8757341609398</v>
      </c>
      <c r="R54" s="7">
        <v>3855.2003424746199</v>
      </c>
      <c r="S54" s="7">
        <v>3848.12898947125</v>
      </c>
      <c r="T54" s="7">
        <v>3830.2191753715001</v>
      </c>
      <c r="U54" s="7">
        <v>3760.3919412258401</v>
      </c>
    </row>
    <row r="55" spans="5:21" x14ac:dyDescent="0.25">
      <c r="E55" t="s">
        <v>260</v>
      </c>
      <c r="F55" t="s">
        <v>501</v>
      </c>
      <c r="G55" t="s">
        <v>86</v>
      </c>
      <c r="H55">
        <v>3927.5454559764999</v>
      </c>
      <c r="I55">
        <v>3788.1777668717</v>
      </c>
      <c r="J55">
        <v>3857.5686604371599</v>
      </c>
      <c r="K55">
        <v>3920.6368254469699</v>
      </c>
      <c r="L55">
        <v>3944.8503583983502</v>
      </c>
      <c r="M55">
        <v>3888</v>
      </c>
      <c r="O55" s="5" t="s">
        <v>83</v>
      </c>
      <c r="P55" s="7">
        <v>3670</v>
      </c>
      <c r="Q55" s="7">
        <v>3804.11080973244</v>
      </c>
      <c r="R55" s="7">
        <v>3850.1470994577699</v>
      </c>
      <c r="S55" s="7">
        <v>3843.0564162637302</v>
      </c>
      <c r="T55" s="7">
        <v>3809.4741018403502</v>
      </c>
      <c r="U55" s="7">
        <v>3771.6690899699001</v>
      </c>
    </row>
    <row r="56" spans="5:21" x14ac:dyDescent="0.25">
      <c r="E56" t="s">
        <v>261</v>
      </c>
      <c r="F56" t="s">
        <v>501</v>
      </c>
      <c r="G56" t="s">
        <v>87</v>
      </c>
      <c r="H56">
        <v>3921.1523254550898</v>
      </c>
      <c r="I56">
        <v>3806.4211781078502</v>
      </c>
      <c r="J56">
        <v>3902.5754644932199</v>
      </c>
      <c r="K56">
        <v>3935.8315233032799</v>
      </c>
      <c r="L56">
        <v>3943.4222163224799</v>
      </c>
      <c r="M56">
        <v>3869</v>
      </c>
      <c r="O56" s="5" t="s">
        <v>84</v>
      </c>
      <c r="P56" s="7">
        <v>3752</v>
      </c>
      <c r="Q56" s="7">
        <v>3826.8643449369301</v>
      </c>
      <c r="R56" s="7">
        <v>3865.0749778140898</v>
      </c>
      <c r="S56" s="7">
        <v>3845.3546161151899</v>
      </c>
      <c r="T56" s="7">
        <v>3807.5828557822701</v>
      </c>
      <c r="U56" s="7">
        <v>3793.78440996376</v>
      </c>
    </row>
    <row r="57" spans="5:21" x14ac:dyDescent="0.25">
      <c r="E57" t="s">
        <v>262</v>
      </c>
      <c r="F57" t="s">
        <v>501</v>
      </c>
      <c r="G57" t="s">
        <v>88</v>
      </c>
      <c r="H57">
        <v>3919.4626205442</v>
      </c>
      <c r="I57">
        <v>3847.8354472312099</v>
      </c>
      <c r="J57">
        <v>3917.0521452500702</v>
      </c>
      <c r="K57">
        <v>3943.1067764376398</v>
      </c>
      <c r="L57">
        <v>3964.9795962036801</v>
      </c>
      <c r="M57">
        <v>3853</v>
      </c>
      <c r="O57" s="5" t="s">
        <v>85</v>
      </c>
      <c r="P57" s="7">
        <v>3838</v>
      </c>
      <c r="Q57" s="7">
        <v>3915.6481902594701</v>
      </c>
      <c r="R57" s="7">
        <v>3934.6888059523299</v>
      </c>
      <c r="S57" s="7">
        <v>3922.77330438739</v>
      </c>
      <c r="T57" s="7">
        <v>3779.1552501129299</v>
      </c>
      <c r="U57" s="7">
        <v>3747.6273584251398</v>
      </c>
    </row>
    <row r="58" spans="5:21" x14ac:dyDescent="0.25">
      <c r="E58" t="s">
        <v>263</v>
      </c>
      <c r="F58" t="s">
        <v>501</v>
      </c>
      <c r="G58" t="s">
        <v>90</v>
      </c>
      <c r="H58">
        <v>4062.4652906451402</v>
      </c>
      <c r="I58">
        <v>4006.7023513100999</v>
      </c>
      <c r="J58">
        <v>3917.93868435269</v>
      </c>
      <c r="K58">
        <v>4165.3421551852398</v>
      </c>
      <c r="L58">
        <v>4188.5876801408103</v>
      </c>
      <c r="M58">
        <v>3771</v>
      </c>
      <c r="O58" s="5" t="s">
        <v>86</v>
      </c>
      <c r="P58" s="7">
        <v>3888</v>
      </c>
      <c r="Q58" s="7">
        <v>3927.5454559764999</v>
      </c>
      <c r="R58" s="7">
        <v>3944.8503583983502</v>
      </c>
      <c r="S58" s="7">
        <v>3920.6368254469699</v>
      </c>
      <c r="T58" s="7">
        <v>3788.1777668717</v>
      </c>
      <c r="U58" s="7">
        <v>3857.5686604371599</v>
      </c>
    </row>
    <row r="59" spans="5:21" x14ac:dyDescent="0.25">
      <c r="E59" t="s">
        <v>264</v>
      </c>
      <c r="F59" t="s">
        <v>501</v>
      </c>
      <c r="G59" t="s">
        <v>91</v>
      </c>
      <c r="H59">
        <v>4036.3279568646199</v>
      </c>
      <c r="I59">
        <v>3964.38526892967</v>
      </c>
      <c r="J59">
        <v>3983.1569358994702</v>
      </c>
      <c r="K59">
        <v>4137.2577001507898</v>
      </c>
      <c r="L59">
        <v>4144.6930691585003</v>
      </c>
      <c r="M59">
        <v>3725</v>
      </c>
      <c r="O59" s="5" t="s">
        <v>87</v>
      </c>
      <c r="P59" s="7">
        <v>3869</v>
      </c>
      <c r="Q59" s="7">
        <v>3921.1523254550898</v>
      </c>
      <c r="R59" s="7">
        <v>3943.4222163224799</v>
      </c>
      <c r="S59" s="7">
        <v>3935.8315233032799</v>
      </c>
      <c r="T59" s="7">
        <v>3806.4211781078502</v>
      </c>
      <c r="U59" s="7">
        <v>3902.5754644932199</v>
      </c>
    </row>
    <row r="60" spans="5:21" x14ac:dyDescent="0.25">
      <c r="E60" t="s">
        <v>265</v>
      </c>
      <c r="F60" t="s">
        <v>501</v>
      </c>
      <c r="G60" t="s">
        <v>92</v>
      </c>
      <c r="H60">
        <v>4050.8186052881902</v>
      </c>
      <c r="I60">
        <v>3948.07252136944</v>
      </c>
      <c r="J60">
        <v>3935.1427166926701</v>
      </c>
      <c r="K60">
        <v>4131.32825318094</v>
      </c>
      <c r="L60">
        <v>4141.1303683666501</v>
      </c>
      <c r="M60">
        <v>3718</v>
      </c>
      <c r="O60" s="5" t="s">
        <v>88</v>
      </c>
      <c r="P60" s="7">
        <v>3853</v>
      </c>
      <c r="Q60" s="7">
        <v>3919.4626205442</v>
      </c>
      <c r="R60" s="7">
        <v>3964.9795962036801</v>
      </c>
      <c r="S60" s="7">
        <v>3943.1067764376398</v>
      </c>
      <c r="T60" s="7">
        <v>3847.8354472312099</v>
      </c>
      <c r="U60" s="7">
        <v>3917.0521452500702</v>
      </c>
    </row>
    <row r="61" spans="5:21" x14ac:dyDescent="0.25">
      <c r="E61" t="s">
        <v>266</v>
      </c>
      <c r="F61" t="s">
        <v>501</v>
      </c>
      <c r="G61" t="s">
        <v>93</v>
      </c>
      <c r="H61">
        <v>3974.3159416522299</v>
      </c>
      <c r="I61">
        <v>3922.1203516933401</v>
      </c>
      <c r="J61">
        <v>3999.5483259067601</v>
      </c>
      <c r="K61">
        <v>4061.2887592505799</v>
      </c>
      <c r="L61">
        <v>4070.4378653668</v>
      </c>
      <c r="M61">
        <v>3743</v>
      </c>
      <c r="O61" s="5" t="s">
        <v>90</v>
      </c>
      <c r="P61" s="7">
        <v>3771</v>
      </c>
      <c r="Q61" s="7">
        <v>4062.4652906451402</v>
      </c>
      <c r="R61" s="7">
        <v>4188.5876801408103</v>
      </c>
      <c r="S61" s="7">
        <v>4165.3421551852398</v>
      </c>
      <c r="T61" s="7">
        <v>4006.7023513100999</v>
      </c>
      <c r="U61" s="7">
        <v>3917.93868435269</v>
      </c>
    </row>
    <row r="62" spans="5:21" x14ac:dyDescent="0.25">
      <c r="E62" t="s">
        <v>267</v>
      </c>
      <c r="F62" t="s">
        <v>501</v>
      </c>
      <c r="G62" t="s">
        <v>94</v>
      </c>
      <c r="H62">
        <v>4046.6182938878601</v>
      </c>
      <c r="I62">
        <v>3981.8460339139401</v>
      </c>
      <c r="J62">
        <v>4040.1184831984201</v>
      </c>
      <c r="K62">
        <v>4146.9693375931802</v>
      </c>
      <c r="L62">
        <v>4192.4511696375903</v>
      </c>
      <c r="M62">
        <v>3799</v>
      </c>
      <c r="O62" s="5" t="s">
        <v>91</v>
      </c>
      <c r="P62" s="7">
        <v>3725</v>
      </c>
      <c r="Q62" s="7">
        <v>4036.3279568646199</v>
      </c>
      <c r="R62" s="7">
        <v>4144.6930691585003</v>
      </c>
      <c r="S62" s="7">
        <v>4137.2577001507898</v>
      </c>
      <c r="T62" s="7">
        <v>3964.38526892967</v>
      </c>
      <c r="U62" s="7">
        <v>3983.1569358994702</v>
      </c>
    </row>
    <row r="63" spans="5:21" x14ac:dyDescent="0.25">
      <c r="E63" t="s">
        <v>268</v>
      </c>
      <c r="F63" t="s">
        <v>501</v>
      </c>
      <c r="G63" t="s">
        <v>95</v>
      </c>
      <c r="H63">
        <v>4015.7308643842098</v>
      </c>
      <c r="I63">
        <v>3984.1523273033899</v>
      </c>
      <c r="J63">
        <v>4075.7062490322201</v>
      </c>
      <c r="K63">
        <v>4128.82447965745</v>
      </c>
      <c r="L63">
        <v>4128.06087249354</v>
      </c>
      <c r="M63">
        <v>3804</v>
      </c>
      <c r="O63" s="5" t="s">
        <v>92</v>
      </c>
      <c r="P63" s="7">
        <v>3718</v>
      </c>
      <c r="Q63" s="7">
        <v>4050.8186052881902</v>
      </c>
      <c r="R63" s="7">
        <v>4141.1303683666501</v>
      </c>
      <c r="S63" s="7">
        <v>4131.32825318094</v>
      </c>
      <c r="T63" s="7">
        <v>3948.07252136944</v>
      </c>
      <c r="U63" s="7">
        <v>3935.1427166926701</v>
      </c>
    </row>
    <row r="64" spans="5:21" x14ac:dyDescent="0.25">
      <c r="E64" t="s">
        <v>269</v>
      </c>
      <c r="F64" t="s">
        <v>501</v>
      </c>
      <c r="G64" t="s">
        <v>96</v>
      </c>
      <c r="H64">
        <v>4017.5643534056699</v>
      </c>
      <c r="I64">
        <v>4009.94737797271</v>
      </c>
      <c r="J64">
        <v>4061.8514877652301</v>
      </c>
      <c r="K64">
        <v>4143.6019501812198</v>
      </c>
      <c r="L64">
        <v>4148.2793119178205</v>
      </c>
      <c r="M64">
        <v>3801</v>
      </c>
      <c r="O64" s="5" t="s">
        <v>93</v>
      </c>
      <c r="P64" s="7">
        <v>3743</v>
      </c>
      <c r="Q64" s="7">
        <v>3974.3159416522299</v>
      </c>
      <c r="R64" s="7">
        <v>4070.4378653668</v>
      </c>
      <c r="S64" s="7">
        <v>4061.2887592505799</v>
      </c>
      <c r="T64" s="7">
        <v>3922.1203516933401</v>
      </c>
      <c r="U64" s="7">
        <v>3999.5483259067601</v>
      </c>
    </row>
    <row r="65" spans="5:21" x14ac:dyDescent="0.25">
      <c r="E65" t="s">
        <v>270</v>
      </c>
      <c r="F65" t="s">
        <v>501</v>
      </c>
      <c r="G65" t="s">
        <v>97</v>
      </c>
      <c r="H65">
        <v>4046.2798727539098</v>
      </c>
      <c r="I65">
        <v>4029.2931143309802</v>
      </c>
      <c r="J65">
        <v>4007.9451024345899</v>
      </c>
      <c r="K65">
        <v>4172.3121184076599</v>
      </c>
      <c r="L65">
        <v>4141.5565604810399</v>
      </c>
      <c r="M65">
        <v>3765</v>
      </c>
      <c r="O65" s="5" t="s">
        <v>94</v>
      </c>
      <c r="P65" s="7">
        <v>3799</v>
      </c>
      <c r="Q65" s="7">
        <v>4046.6182938878601</v>
      </c>
      <c r="R65" s="7">
        <v>4192.4511696375903</v>
      </c>
      <c r="S65" s="7">
        <v>4146.9693375931802</v>
      </c>
      <c r="T65" s="7">
        <v>3981.8460339139401</v>
      </c>
      <c r="U65" s="7">
        <v>4040.1184831984201</v>
      </c>
    </row>
    <row r="66" spans="5:21" x14ac:dyDescent="0.25">
      <c r="E66" t="s">
        <v>271</v>
      </c>
      <c r="F66" t="s">
        <v>501</v>
      </c>
      <c r="G66" t="s">
        <v>98</v>
      </c>
      <c r="H66">
        <v>4113.0322499805197</v>
      </c>
      <c r="I66">
        <v>4068.87413018292</v>
      </c>
      <c r="J66">
        <v>4075.5433381338898</v>
      </c>
      <c r="K66">
        <v>4179.5338264532802</v>
      </c>
      <c r="L66">
        <v>4188.5280283878001</v>
      </c>
      <c r="M66">
        <v>3872</v>
      </c>
      <c r="O66" s="5" t="s">
        <v>95</v>
      </c>
      <c r="P66" s="7">
        <v>3804</v>
      </c>
      <c r="Q66" s="7">
        <v>4015.7308643842098</v>
      </c>
      <c r="R66" s="7">
        <v>4128.06087249354</v>
      </c>
      <c r="S66" s="7">
        <v>4128.82447965745</v>
      </c>
      <c r="T66" s="7">
        <v>3984.1523273033899</v>
      </c>
      <c r="U66" s="7">
        <v>4075.7062490322201</v>
      </c>
    </row>
    <row r="67" spans="5:21" x14ac:dyDescent="0.25">
      <c r="E67" t="s">
        <v>272</v>
      </c>
      <c r="F67" t="s">
        <v>501</v>
      </c>
      <c r="G67" t="s">
        <v>99</v>
      </c>
      <c r="H67">
        <v>4086.7985953900902</v>
      </c>
      <c r="I67">
        <v>4055.0184166447102</v>
      </c>
      <c r="J67">
        <v>4113.2206647010698</v>
      </c>
      <c r="K67">
        <v>4140.2839155538004</v>
      </c>
      <c r="L67">
        <v>4167.6708739100904</v>
      </c>
      <c r="M67">
        <v>3868</v>
      </c>
      <c r="O67" s="5" t="s">
        <v>96</v>
      </c>
      <c r="P67" s="7">
        <v>3801</v>
      </c>
      <c r="Q67" s="7">
        <v>4017.5643534056699</v>
      </c>
      <c r="R67" s="7">
        <v>4148.2793119178205</v>
      </c>
      <c r="S67" s="7">
        <v>4143.6019501812198</v>
      </c>
      <c r="T67" s="7">
        <v>4009.94737797271</v>
      </c>
      <c r="U67" s="7">
        <v>4061.8514877652301</v>
      </c>
    </row>
    <row r="68" spans="5:21" x14ac:dyDescent="0.25">
      <c r="E68" t="s">
        <v>273</v>
      </c>
      <c r="F68" t="s">
        <v>501</v>
      </c>
      <c r="G68" t="s">
        <v>100</v>
      </c>
      <c r="H68">
        <v>4057.0108198425301</v>
      </c>
      <c r="I68">
        <v>4031.6671874383701</v>
      </c>
      <c r="J68">
        <v>4097.8165147484997</v>
      </c>
      <c r="K68">
        <v>4108.8727778768998</v>
      </c>
      <c r="L68">
        <v>4132.3505364162502</v>
      </c>
      <c r="M68">
        <v>3902</v>
      </c>
      <c r="O68" s="5" t="s">
        <v>97</v>
      </c>
      <c r="P68" s="7">
        <v>3765</v>
      </c>
      <c r="Q68" s="7">
        <v>4046.2798727539098</v>
      </c>
      <c r="R68" s="7">
        <v>4141.5565604810399</v>
      </c>
      <c r="S68" s="7">
        <v>4172.3121184076599</v>
      </c>
      <c r="T68" s="7">
        <v>4029.2931143309802</v>
      </c>
      <c r="U68" s="7">
        <v>4007.9451024345899</v>
      </c>
    </row>
    <row r="69" spans="5:21" x14ac:dyDescent="0.25">
      <c r="E69" t="s">
        <v>274</v>
      </c>
      <c r="F69" t="s">
        <v>501</v>
      </c>
      <c r="G69" t="s">
        <v>101</v>
      </c>
      <c r="H69">
        <v>4089.0666299068998</v>
      </c>
      <c r="I69">
        <v>4046.5789699812399</v>
      </c>
      <c r="J69">
        <v>4109.7385618171402</v>
      </c>
      <c r="K69">
        <v>4160.2126330882902</v>
      </c>
      <c r="L69">
        <v>4169.31093089348</v>
      </c>
      <c r="M69">
        <v>3869</v>
      </c>
      <c r="O69" s="5" t="s">
        <v>98</v>
      </c>
      <c r="P69" s="7">
        <v>3872</v>
      </c>
      <c r="Q69" s="7">
        <v>4113.0322499805197</v>
      </c>
      <c r="R69" s="7">
        <v>4188.5280283878001</v>
      </c>
      <c r="S69" s="7">
        <v>4179.5338264532802</v>
      </c>
      <c r="T69" s="7">
        <v>4068.87413018292</v>
      </c>
      <c r="U69" s="7">
        <v>4075.5433381338898</v>
      </c>
    </row>
    <row r="70" spans="5:21" x14ac:dyDescent="0.25">
      <c r="E70" t="s">
        <v>275</v>
      </c>
      <c r="F70" t="s">
        <v>501</v>
      </c>
      <c r="G70" t="s">
        <v>103</v>
      </c>
      <c r="H70">
        <v>4120.9427530412004</v>
      </c>
      <c r="I70">
        <v>4084.1693667023301</v>
      </c>
      <c r="J70">
        <v>4105.1872441339701</v>
      </c>
      <c r="K70">
        <v>4212.2358093551202</v>
      </c>
      <c r="L70">
        <v>4226.5234465356498</v>
      </c>
      <c r="M70">
        <v>3859</v>
      </c>
      <c r="O70" s="5" t="s">
        <v>99</v>
      </c>
      <c r="P70" s="7">
        <v>3868</v>
      </c>
      <c r="Q70" s="7">
        <v>4086.7985953900902</v>
      </c>
      <c r="R70" s="7">
        <v>4167.6708739100904</v>
      </c>
      <c r="S70" s="7">
        <v>4140.2839155538004</v>
      </c>
      <c r="T70" s="7">
        <v>4055.0184166447102</v>
      </c>
      <c r="U70" s="7">
        <v>4113.2206647010698</v>
      </c>
    </row>
    <row r="71" spans="5:21" x14ac:dyDescent="0.25">
      <c r="E71" t="s">
        <v>276</v>
      </c>
      <c r="F71" t="s">
        <v>501</v>
      </c>
      <c r="G71" t="s">
        <v>104</v>
      </c>
      <c r="H71">
        <v>4142.0947912738902</v>
      </c>
      <c r="I71">
        <v>4099.2364333394999</v>
      </c>
      <c r="J71">
        <v>4194.7722368231198</v>
      </c>
      <c r="K71">
        <v>4239.0721789982299</v>
      </c>
      <c r="L71">
        <v>4247.6297700796304</v>
      </c>
      <c r="M71">
        <v>3920</v>
      </c>
      <c r="O71" s="5" t="s">
        <v>100</v>
      </c>
      <c r="P71" s="7">
        <v>3902</v>
      </c>
      <c r="Q71" s="7">
        <v>4057.0108198425301</v>
      </c>
      <c r="R71" s="7">
        <v>4132.3505364162502</v>
      </c>
      <c r="S71" s="7">
        <v>4108.8727778768998</v>
      </c>
      <c r="T71" s="7">
        <v>4031.6671874383701</v>
      </c>
      <c r="U71" s="7">
        <v>4097.8165147484997</v>
      </c>
    </row>
    <row r="72" spans="5:21" x14ac:dyDescent="0.25">
      <c r="E72" t="s">
        <v>277</v>
      </c>
      <c r="F72" t="s">
        <v>501</v>
      </c>
      <c r="G72" t="s">
        <v>105</v>
      </c>
      <c r="H72">
        <v>4158.6817608958299</v>
      </c>
      <c r="I72">
        <v>4106.4176892816004</v>
      </c>
      <c r="J72">
        <v>4314.0060262054903</v>
      </c>
      <c r="K72">
        <v>4253.0108429635602</v>
      </c>
      <c r="L72">
        <v>4261.9598139026803</v>
      </c>
      <c r="M72">
        <v>3922</v>
      </c>
      <c r="O72" s="5" t="s">
        <v>101</v>
      </c>
      <c r="P72" s="7">
        <v>3869</v>
      </c>
      <c r="Q72" s="7">
        <v>4089.0666299068998</v>
      </c>
      <c r="R72" s="7">
        <v>4169.31093089348</v>
      </c>
      <c r="S72" s="7">
        <v>4160.2126330882902</v>
      </c>
      <c r="T72" s="7">
        <v>4046.5789699812399</v>
      </c>
      <c r="U72" s="7">
        <v>4109.7385618171402</v>
      </c>
    </row>
    <row r="73" spans="5:21" x14ac:dyDescent="0.25">
      <c r="E73" t="s">
        <v>278</v>
      </c>
      <c r="F73" t="s">
        <v>501</v>
      </c>
      <c r="G73" t="s">
        <v>106</v>
      </c>
      <c r="H73">
        <v>4082.6522988186298</v>
      </c>
      <c r="I73">
        <v>4090.72093448241</v>
      </c>
      <c r="J73">
        <v>4311.5253478680997</v>
      </c>
      <c r="K73">
        <v>4173.0484389863104</v>
      </c>
      <c r="L73">
        <v>4181.7397052954402</v>
      </c>
      <c r="M73">
        <v>3844</v>
      </c>
      <c r="O73" s="5" t="s">
        <v>103</v>
      </c>
      <c r="P73" s="7">
        <v>3859</v>
      </c>
      <c r="Q73" s="7">
        <v>4120.9427530412004</v>
      </c>
      <c r="R73" s="7">
        <v>4226.5234465356498</v>
      </c>
      <c r="S73" s="7">
        <v>4212.2358093551202</v>
      </c>
      <c r="T73" s="7">
        <v>4084.1693667023301</v>
      </c>
      <c r="U73" s="7">
        <v>4105.1872441339701</v>
      </c>
    </row>
    <row r="74" spans="5:21" x14ac:dyDescent="0.25">
      <c r="E74" t="s">
        <v>279</v>
      </c>
      <c r="F74" t="s">
        <v>501</v>
      </c>
      <c r="G74" t="s">
        <v>107</v>
      </c>
      <c r="H74">
        <v>4256.5919753767203</v>
      </c>
      <c r="I74">
        <v>4129.2419139807198</v>
      </c>
      <c r="J74">
        <v>4051.4365853704498</v>
      </c>
      <c r="K74">
        <v>4284.64338223702</v>
      </c>
      <c r="L74">
        <v>4294.0576350712599</v>
      </c>
      <c r="M74">
        <v>3808</v>
      </c>
      <c r="O74" s="5" t="s">
        <v>104</v>
      </c>
      <c r="P74" s="7">
        <v>3920</v>
      </c>
      <c r="Q74" s="7">
        <v>4142.0947912738902</v>
      </c>
      <c r="R74" s="7">
        <v>4247.6297700796304</v>
      </c>
      <c r="S74" s="7">
        <v>4239.0721789982299</v>
      </c>
      <c r="T74" s="7">
        <v>4099.2364333394999</v>
      </c>
      <c r="U74" s="7">
        <v>4194.7722368231198</v>
      </c>
    </row>
    <row r="75" spans="5:21" x14ac:dyDescent="0.25">
      <c r="E75" t="s">
        <v>280</v>
      </c>
      <c r="F75" t="s">
        <v>501</v>
      </c>
      <c r="G75" t="s">
        <v>108</v>
      </c>
      <c r="H75">
        <v>4296.3875961122003</v>
      </c>
      <c r="I75">
        <v>4269.6598444936899</v>
      </c>
      <c r="J75">
        <v>4376.0562089894502</v>
      </c>
      <c r="K75">
        <v>4307.4679531100501</v>
      </c>
      <c r="L75">
        <v>4316.4041654734101</v>
      </c>
      <c r="M75">
        <v>3981</v>
      </c>
      <c r="O75" s="5" t="s">
        <v>105</v>
      </c>
      <c r="P75" s="7">
        <v>3922</v>
      </c>
      <c r="Q75" s="7">
        <v>4158.6817608958299</v>
      </c>
      <c r="R75" s="7">
        <v>4261.9598139026803</v>
      </c>
      <c r="S75" s="7">
        <v>4253.0108429635602</v>
      </c>
      <c r="T75" s="7">
        <v>4106.4176892816004</v>
      </c>
      <c r="U75" s="7">
        <v>4314.0060262054903</v>
      </c>
    </row>
    <row r="76" spans="5:21" x14ac:dyDescent="0.25">
      <c r="E76" t="s">
        <v>281</v>
      </c>
      <c r="F76" t="s">
        <v>501</v>
      </c>
      <c r="G76" t="s">
        <v>110</v>
      </c>
      <c r="H76">
        <v>4335.1976437277199</v>
      </c>
      <c r="I76">
        <v>4397.0239231800297</v>
      </c>
      <c r="J76">
        <v>4428.3330830643499</v>
      </c>
      <c r="K76">
        <v>4364.4351032775803</v>
      </c>
      <c r="L76">
        <v>4373.9487609471798</v>
      </c>
      <c r="M76">
        <v>4137</v>
      </c>
      <c r="O76" s="5" t="s">
        <v>106</v>
      </c>
      <c r="P76" s="7">
        <v>3844</v>
      </c>
      <c r="Q76" s="7">
        <v>4082.6522988186298</v>
      </c>
      <c r="R76" s="7">
        <v>4181.7397052954402</v>
      </c>
      <c r="S76" s="7">
        <v>4173.0484389863104</v>
      </c>
      <c r="T76" s="7">
        <v>4090.72093448241</v>
      </c>
      <c r="U76" s="7">
        <v>4311.5253478680997</v>
      </c>
    </row>
    <row r="77" spans="5:21" x14ac:dyDescent="0.25">
      <c r="E77" t="s">
        <v>282</v>
      </c>
      <c r="F77" t="s">
        <v>501</v>
      </c>
      <c r="G77" t="s">
        <v>111</v>
      </c>
      <c r="H77">
        <v>4381.4254620033698</v>
      </c>
      <c r="I77">
        <v>4419.82703563824</v>
      </c>
      <c r="J77">
        <v>4319.6593103410196</v>
      </c>
      <c r="K77">
        <v>4412.98701217096</v>
      </c>
      <c r="L77">
        <v>4427.4036076109696</v>
      </c>
      <c r="M77">
        <v>4225</v>
      </c>
      <c r="O77" s="5" t="s">
        <v>107</v>
      </c>
      <c r="P77" s="7">
        <v>3808</v>
      </c>
      <c r="Q77" s="7">
        <v>4256.5919753767203</v>
      </c>
      <c r="R77" s="7">
        <v>4294.0576350712599</v>
      </c>
      <c r="S77" s="7">
        <v>4284.64338223702</v>
      </c>
      <c r="T77" s="7">
        <v>4129.2419139807198</v>
      </c>
      <c r="U77" s="7">
        <v>4051.4365853704498</v>
      </c>
    </row>
    <row r="78" spans="5:21" x14ac:dyDescent="0.25">
      <c r="E78" t="s">
        <v>283</v>
      </c>
      <c r="F78" t="s">
        <v>501</v>
      </c>
      <c r="G78" t="s">
        <v>112</v>
      </c>
      <c r="H78">
        <v>4538.18062695767</v>
      </c>
      <c r="I78">
        <v>4368.6339904986598</v>
      </c>
      <c r="J78">
        <v>4159.9087382356602</v>
      </c>
      <c r="K78">
        <v>4591.7610792512196</v>
      </c>
      <c r="L78">
        <v>4574.4538469150102</v>
      </c>
      <c r="M78">
        <v>4059</v>
      </c>
      <c r="O78" s="5" t="s">
        <v>108</v>
      </c>
      <c r="P78" s="7">
        <v>3981</v>
      </c>
      <c r="Q78" s="7">
        <v>4296.3875961122003</v>
      </c>
      <c r="R78" s="7">
        <v>4316.4041654734101</v>
      </c>
      <c r="S78" s="7">
        <v>4307.4679531100501</v>
      </c>
      <c r="T78" s="7">
        <v>4269.6598444936899</v>
      </c>
      <c r="U78" s="7">
        <v>4376.0562089894502</v>
      </c>
    </row>
    <row r="79" spans="5:21" x14ac:dyDescent="0.25">
      <c r="E79" t="s">
        <v>284</v>
      </c>
      <c r="F79" t="s">
        <v>501</v>
      </c>
      <c r="G79" t="s">
        <v>113</v>
      </c>
      <c r="H79">
        <v>4476.2501350458197</v>
      </c>
      <c r="I79">
        <v>4311.5293874905301</v>
      </c>
      <c r="J79">
        <v>4363.7131871618703</v>
      </c>
      <c r="K79">
        <v>4505.1663260000296</v>
      </c>
      <c r="L79">
        <v>4511.8459107729104</v>
      </c>
      <c r="M79">
        <v>4039</v>
      </c>
      <c r="O79" s="5" t="s">
        <v>110</v>
      </c>
      <c r="P79" s="7">
        <v>4137</v>
      </c>
      <c r="Q79" s="7">
        <v>4335.1976437277199</v>
      </c>
      <c r="R79" s="7">
        <v>4373.9487609471798</v>
      </c>
      <c r="S79" s="7">
        <v>4364.4351032775803</v>
      </c>
      <c r="T79" s="7">
        <v>4397.0239231800297</v>
      </c>
      <c r="U79" s="7">
        <v>4428.3330830643499</v>
      </c>
    </row>
    <row r="80" spans="5:21" x14ac:dyDescent="0.25">
      <c r="E80" t="s">
        <v>285</v>
      </c>
      <c r="F80" t="s">
        <v>501</v>
      </c>
      <c r="G80" t="s">
        <v>114</v>
      </c>
      <c r="H80">
        <v>4410.3520612780503</v>
      </c>
      <c r="I80">
        <v>4214.4232775480796</v>
      </c>
      <c r="J80">
        <v>4315.6559473384305</v>
      </c>
      <c r="K80">
        <v>4425.9134789855298</v>
      </c>
      <c r="L80">
        <v>4432.0653429241602</v>
      </c>
      <c r="M80">
        <v>3997</v>
      </c>
      <c r="O80" s="5" t="s">
        <v>111</v>
      </c>
      <c r="P80" s="7">
        <v>4225</v>
      </c>
      <c r="Q80" s="7">
        <v>4381.4254620033698</v>
      </c>
      <c r="R80" s="7">
        <v>4427.4036076109696</v>
      </c>
      <c r="S80" s="7">
        <v>4412.98701217096</v>
      </c>
      <c r="T80" s="7">
        <v>4419.82703563824</v>
      </c>
      <c r="U80" s="7">
        <v>4319.6593103410196</v>
      </c>
    </row>
    <row r="81" spans="5:21" x14ac:dyDescent="0.25">
      <c r="E81" t="s">
        <v>286</v>
      </c>
      <c r="F81" t="s">
        <v>501</v>
      </c>
      <c r="G81" t="s">
        <v>115</v>
      </c>
      <c r="H81">
        <v>4244.4160316117104</v>
      </c>
      <c r="I81">
        <v>4076.6741498323399</v>
      </c>
      <c r="J81">
        <v>4186.7935894679204</v>
      </c>
      <c r="K81">
        <v>4285.1279605310401</v>
      </c>
      <c r="L81">
        <v>4267.1692435205996</v>
      </c>
      <c r="M81">
        <v>3908</v>
      </c>
      <c r="O81" s="5" t="s">
        <v>112</v>
      </c>
      <c r="P81" s="7">
        <v>4059</v>
      </c>
      <c r="Q81" s="7">
        <v>4538.18062695767</v>
      </c>
      <c r="R81" s="7">
        <v>4574.4538469150102</v>
      </c>
      <c r="S81" s="7">
        <v>4591.7610792512196</v>
      </c>
      <c r="T81" s="7">
        <v>4368.6339904986598</v>
      </c>
      <c r="U81" s="7">
        <v>4159.9087382356602</v>
      </c>
    </row>
    <row r="82" spans="5:21" x14ac:dyDescent="0.25">
      <c r="E82" t="s">
        <v>287</v>
      </c>
      <c r="F82" t="s">
        <v>501</v>
      </c>
      <c r="G82" t="s">
        <v>116</v>
      </c>
      <c r="H82">
        <v>3924.0002301095101</v>
      </c>
      <c r="I82">
        <v>3787.6026495973201</v>
      </c>
      <c r="J82">
        <v>3856.9244582500801</v>
      </c>
      <c r="K82">
        <v>3974.8216873787801</v>
      </c>
      <c r="L82">
        <v>3973.4955191198201</v>
      </c>
      <c r="M82">
        <v>3699</v>
      </c>
      <c r="O82" s="5" t="s">
        <v>113</v>
      </c>
      <c r="P82" s="7">
        <v>4039</v>
      </c>
      <c r="Q82" s="7">
        <v>4476.2501350458197</v>
      </c>
      <c r="R82" s="7">
        <v>4511.8459107729104</v>
      </c>
      <c r="S82" s="7">
        <v>4505.1663260000296</v>
      </c>
      <c r="T82" s="7">
        <v>4311.5293874905301</v>
      </c>
      <c r="U82" s="7">
        <v>4363.7131871618703</v>
      </c>
    </row>
    <row r="83" spans="5:21" x14ac:dyDescent="0.25">
      <c r="E83" t="s">
        <v>288</v>
      </c>
      <c r="F83" t="s">
        <v>501</v>
      </c>
      <c r="G83" t="s">
        <v>117</v>
      </c>
      <c r="H83">
        <v>3800.52156191515</v>
      </c>
      <c r="I83">
        <v>3650.3435872107498</v>
      </c>
      <c r="J83">
        <v>3759.7994556148001</v>
      </c>
      <c r="K83">
        <v>3854.5042785451101</v>
      </c>
      <c r="L83">
        <v>3853.3048670517501</v>
      </c>
      <c r="M83">
        <v>3548</v>
      </c>
      <c r="O83" s="5" t="s">
        <v>114</v>
      </c>
      <c r="P83" s="7">
        <v>3997</v>
      </c>
      <c r="Q83" s="7">
        <v>4410.3520612780503</v>
      </c>
      <c r="R83" s="7">
        <v>4432.0653429241602</v>
      </c>
      <c r="S83" s="7">
        <v>4425.9134789855298</v>
      </c>
      <c r="T83" s="7">
        <v>4214.4232775480796</v>
      </c>
      <c r="U83" s="7">
        <v>4315.6559473384305</v>
      </c>
    </row>
    <row r="84" spans="5:21" x14ac:dyDescent="0.25">
      <c r="E84" t="s">
        <v>289</v>
      </c>
      <c r="F84" t="s">
        <v>501</v>
      </c>
      <c r="G84" t="s">
        <v>118</v>
      </c>
      <c r="H84">
        <v>3665.8105685866999</v>
      </c>
      <c r="I84">
        <v>3577.3422254941702</v>
      </c>
      <c r="J84">
        <v>3748.5693115897202</v>
      </c>
      <c r="K84">
        <v>3739.86386060422</v>
      </c>
      <c r="L84">
        <v>3745.9395704947001</v>
      </c>
      <c r="M84">
        <v>3432</v>
      </c>
      <c r="O84" s="5" t="s">
        <v>115</v>
      </c>
      <c r="P84" s="7">
        <v>3908</v>
      </c>
      <c r="Q84" s="7">
        <v>4244.4160316117104</v>
      </c>
      <c r="R84" s="7">
        <v>4267.1692435205996</v>
      </c>
      <c r="S84" s="7">
        <v>4285.1279605310401</v>
      </c>
      <c r="T84" s="7">
        <v>4076.6741498323399</v>
      </c>
      <c r="U84" s="7">
        <v>4186.7935894679204</v>
      </c>
    </row>
    <row r="85" spans="5:21" x14ac:dyDescent="0.25">
      <c r="E85" t="s">
        <v>290</v>
      </c>
      <c r="F85" t="s">
        <v>501</v>
      </c>
      <c r="G85" t="s">
        <v>119</v>
      </c>
      <c r="H85">
        <v>3635.9542176427599</v>
      </c>
      <c r="I85">
        <v>3497.2399935806402</v>
      </c>
      <c r="J85">
        <v>3600.51583699209</v>
      </c>
      <c r="K85">
        <v>3708.0298773658501</v>
      </c>
      <c r="L85">
        <v>3716.24162560888</v>
      </c>
      <c r="M85">
        <v>3321</v>
      </c>
      <c r="O85" s="5" t="s">
        <v>116</v>
      </c>
      <c r="P85" s="7">
        <v>3699</v>
      </c>
      <c r="Q85" s="7">
        <v>3924.0002301095101</v>
      </c>
      <c r="R85" s="7">
        <v>3973.4955191198201</v>
      </c>
      <c r="S85" s="7">
        <v>3974.8216873787801</v>
      </c>
      <c r="T85" s="7">
        <v>3787.6026495973201</v>
      </c>
      <c r="U85" s="7">
        <v>3856.9244582500801</v>
      </c>
    </row>
    <row r="86" spans="5:21" x14ac:dyDescent="0.25">
      <c r="E86" t="s">
        <v>291</v>
      </c>
      <c r="F86" t="s">
        <v>501</v>
      </c>
      <c r="G86" t="s">
        <v>120</v>
      </c>
      <c r="H86">
        <v>3286.09765702095</v>
      </c>
      <c r="I86">
        <v>3147.2182688740099</v>
      </c>
      <c r="J86">
        <v>3392.6757681005101</v>
      </c>
      <c r="K86">
        <v>3287.7639706742898</v>
      </c>
      <c r="L86">
        <v>3296.6953896590298</v>
      </c>
      <c r="M86">
        <v>3041</v>
      </c>
      <c r="O86" s="5" t="s">
        <v>117</v>
      </c>
      <c r="P86" s="7">
        <v>3548</v>
      </c>
      <c r="Q86" s="7">
        <v>3800.52156191515</v>
      </c>
      <c r="R86" s="7">
        <v>3853.3048670517501</v>
      </c>
      <c r="S86" s="7">
        <v>3854.5042785451101</v>
      </c>
      <c r="T86" s="7">
        <v>3650.3435872107498</v>
      </c>
      <c r="U86" s="7">
        <v>3759.7994556148001</v>
      </c>
    </row>
    <row r="87" spans="5:21" x14ac:dyDescent="0.25">
      <c r="E87" t="s">
        <v>292</v>
      </c>
      <c r="F87" t="s">
        <v>501</v>
      </c>
      <c r="G87" t="s">
        <v>121</v>
      </c>
      <c r="H87">
        <v>3277.4029140073299</v>
      </c>
      <c r="I87">
        <v>3101.7606703750698</v>
      </c>
      <c r="J87">
        <v>3242.7900241234402</v>
      </c>
      <c r="K87">
        <v>3283.8113764296299</v>
      </c>
      <c r="L87">
        <v>3292.7792458420599</v>
      </c>
      <c r="M87">
        <v>2962</v>
      </c>
      <c r="O87" s="5" t="s">
        <v>118</v>
      </c>
      <c r="P87" s="7">
        <v>3432</v>
      </c>
      <c r="Q87" s="7">
        <v>3665.8105685866999</v>
      </c>
      <c r="R87" s="7">
        <v>3745.9395704947001</v>
      </c>
      <c r="S87" s="7">
        <v>3739.86386060422</v>
      </c>
      <c r="T87" s="7">
        <v>3577.3422254941702</v>
      </c>
      <c r="U87" s="7">
        <v>3748.5693115897202</v>
      </c>
    </row>
    <row r="88" spans="5:21" x14ac:dyDescent="0.25">
      <c r="E88" t="s">
        <v>293</v>
      </c>
      <c r="F88" t="s">
        <v>501</v>
      </c>
      <c r="G88" t="s">
        <v>123</v>
      </c>
      <c r="H88">
        <v>3033.36176925777</v>
      </c>
      <c r="I88">
        <v>3003.62743287885</v>
      </c>
      <c r="J88">
        <v>3243.4008061081199</v>
      </c>
      <c r="K88">
        <v>3074.3156661810299</v>
      </c>
      <c r="L88">
        <v>3081.0717830806302</v>
      </c>
      <c r="M88">
        <v>2902</v>
      </c>
      <c r="O88" s="5" t="s">
        <v>119</v>
      </c>
      <c r="P88" s="7">
        <v>3321</v>
      </c>
      <c r="Q88" s="7">
        <v>3635.9542176427599</v>
      </c>
      <c r="R88" s="7">
        <v>3716.24162560888</v>
      </c>
      <c r="S88" s="7">
        <v>3708.0298773658501</v>
      </c>
      <c r="T88" s="7">
        <v>3497.2399935806402</v>
      </c>
      <c r="U88" s="7">
        <v>3600.51583699209</v>
      </c>
    </row>
    <row r="89" spans="5:21" x14ac:dyDescent="0.25">
      <c r="E89" t="s">
        <v>294</v>
      </c>
      <c r="F89" t="s">
        <v>501</v>
      </c>
      <c r="G89" t="s">
        <v>124</v>
      </c>
      <c r="H89">
        <v>2998.26979032692</v>
      </c>
      <c r="I89">
        <v>2971.9750755248401</v>
      </c>
      <c r="J89">
        <v>3154.15695418206</v>
      </c>
      <c r="K89">
        <v>3042.5892795392701</v>
      </c>
      <c r="L89">
        <v>3047.6005446730401</v>
      </c>
      <c r="M89">
        <v>2879</v>
      </c>
      <c r="O89" s="5" t="s">
        <v>120</v>
      </c>
      <c r="P89" s="7">
        <v>3041</v>
      </c>
      <c r="Q89" s="7">
        <v>3286.09765702095</v>
      </c>
      <c r="R89" s="7">
        <v>3296.6953896590298</v>
      </c>
      <c r="S89" s="7">
        <v>3287.7639706742898</v>
      </c>
      <c r="T89" s="7">
        <v>3147.2182688740099</v>
      </c>
      <c r="U89" s="7">
        <v>3392.6757681005101</v>
      </c>
    </row>
    <row r="90" spans="5:21" x14ac:dyDescent="0.25">
      <c r="E90" t="s">
        <v>295</v>
      </c>
      <c r="F90" t="s">
        <v>501</v>
      </c>
      <c r="G90" t="s">
        <v>125</v>
      </c>
      <c r="H90">
        <v>3101.5370382129199</v>
      </c>
      <c r="I90">
        <v>3127.3841609711399</v>
      </c>
      <c r="J90">
        <v>3156.5749740516699</v>
      </c>
      <c r="K90">
        <v>3217.8068853382902</v>
      </c>
      <c r="L90">
        <v>3222.81529490614</v>
      </c>
      <c r="M90">
        <v>3107</v>
      </c>
      <c r="O90" s="5" t="s">
        <v>121</v>
      </c>
      <c r="P90" s="7">
        <v>2962</v>
      </c>
      <c r="Q90" s="7">
        <v>3277.4029140073299</v>
      </c>
      <c r="R90" s="7">
        <v>3292.7792458420599</v>
      </c>
      <c r="S90" s="7">
        <v>3283.8113764296299</v>
      </c>
      <c r="T90" s="7">
        <v>3101.7606703750698</v>
      </c>
      <c r="U90" s="7">
        <v>3242.7900241234402</v>
      </c>
    </row>
    <row r="91" spans="5:21" x14ac:dyDescent="0.25">
      <c r="E91" t="s">
        <v>296</v>
      </c>
      <c r="F91" t="s">
        <v>501</v>
      </c>
      <c r="G91" t="s">
        <v>126</v>
      </c>
      <c r="H91">
        <v>3205.91619283625</v>
      </c>
      <c r="I91">
        <v>3180.9563566921402</v>
      </c>
      <c r="J91">
        <v>3297.8836842045498</v>
      </c>
      <c r="K91">
        <v>3308.3793655881</v>
      </c>
      <c r="L91">
        <v>3313.8772745414699</v>
      </c>
      <c r="M91">
        <v>3073</v>
      </c>
      <c r="O91" s="5" t="s">
        <v>123</v>
      </c>
      <c r="P91" s="7">
        <v>2902</v>
      </c>
      <c r="Q91" s="7">
        <v>3033.36176925777</v>
      </c>
      <c r="R91" s="7">
        <v>3081.0717830806302</v>
      </c>
      <c r="S91" s="7">
        <v>3074.3156661810299</v>
      </c>
      <c r="T91" s="7">
        <v>3003.62743287885</v>
      </c>
      <c r="U91" s="7">
        <v>3243.4008061081199</v>
      </c>
    </row>
    <row r="92" spans="5:21" x14ac:dyDescent="0.25">
      <c r="E92" t="s">
        <v>297</v>
      </c>
      <c r="F92" t="s">
        <v>501</v>
      </c>
      <c r="G92" t="s">
        <v>127</v>
      </c>
      <c r="H92">
        <v>3106.1634080615099</v>
      </c>
      <c r="I92">
        <v>3104.03238828245</v>
      </c>
      <c r="J92">
        <v>3333.4398059199898</v>
      </c>
      <c r="K92">
        <v>3179.2569337831701</v>
      </c>
      <c r="L92">
        <v>3177.67047443613</v>
      </c>
      <c r="M92">
        <v>3031</v>
      </c>
      <c r="O92" s="5" t="s">
        <v>124</v>
      </c>
      <c r="P92" s="7">
        <v>2879</v>
      </c>
      <c r="Q92" s="7">
        <v>2998.26979032692</v>
      </c>
      <c r="R92" s="7">
        <v>3047.6005446730401</v>
      </c>
      <c r="S92" s="7">
        <v>3042.5892795392701</v>
      </c>
      <c r="T92" s="7">
        <v>2971.9750755248401</v>
      </c>
      <c r="U92" s="7">
        <v>3154.15695418206</v>
      </c>
    </row>
    <row r="93" spans="5:21" x14ac:dyDescent="0.25">
      <c r="E93" t="s">
        <v>298</v>
      </c>
      <c r="F93" t="s">
        <v>501</v>
      </c>
      <c r="G93" t="s">
        <v>128</v>
      </c>
      <c r="H93">
        <v>3065.8100309082702</v>
      </c>
      <c r="I93">
        <v>3036.3242130386402</v>
      </c>
      <c r="J93">
        <v>3150.2941175137698</v>
      </c>
      <c r="K93">
        <v>3112.8553841370099</v>
      </c>
      <c r="L93">
        <v>3111.6695220168599</v>
      </c>
      <c r="M93">
        <v>3000</v>
      </c>
      <c r="O93" s="5" t="s">
        <v>125</v>
      </c>
      <c r="P93" s="7">
        <v>3107</v>
      </c>
      <c r="Q93" s="7">
        <v>3101.5370382129199</v>
      </c>
      <c r="R93" s="7">
        <v>3222.81529490614</v>
      </c>
      <c r="S93" s="7">
        <v>3217.8068853382902</v>
      </c>
      <c r="T93" s="7">
        <v>3127.3841609711399</v>
      </c>
      <c r="U93" s="7">
        <v>3156.5749740516699</v>
      </c>
    </row>
    <row r="94" spans="5:21" x14ac:dyDescent="0.25">
      <c r="E94" t="s">
        <v>299</v>
      </c>
      <c r="F94" t="s">
        <v>501</v>
      </c>
      <c r="G94" t="s">
        <v>129</v>
      </c>
      <c r="H94">
        <v>3013.37665757377</v>
      </c>
      <c r="I94">
        <v>2924.8795203722698</v>
      </c>
      <c r="J94">
        <v>2999.3472369690298</v>
      </c>
      <c r="K94">
        <v>3003.1529888100299</v>
      </c>
      <c r="L94">
        <v>3000.7659473106301</v>
      </c>
      <c r="M94">
        <v>2863</v>
      </c>
      <c r="O94" s="5" t="s">
        <v>126</v>
      </c>
      <c r="P94" s="7">
        <v>3073</v>
      </c>
      <c r="Q94" s="7">
        <v>3205.91619283625</v>
      </c>
      <c r="R94" s="7">
        <v>3313.8772745414699</v>
      </c>
      <c r="S94" s="7">
        <v>3308.3793655881</v>
      </c>
      <c r="T94" s="7">
        <v>3180.9563566921402</v>
      </c>
      <c r="U94" s="7">
        <v>3297.8836842045498</v>
      </c>
    </row>
    <row r="95" spans="5:21" x14ac:dyDescent="0.25">
      <c r="E95" t="s">
        <v>300</v>
      </c>
      <c r="F95" t="s">
        <v>501</v>
      </c>
      <c r="G95" t="s">
        <v>130</v>
      </c>
      <c r="H95">
        <v>3001.3574994875898</v>
      </c>
      <c r="I95">
        <v>2896.38121932066</v>
      </c>
      <c r="J95">
        <v>2967.49533526908</v>
      </c>
      <c r="K95">
        <v>3010.2938218552499</v>
      </c>
      <c r="L95">
        <v>3012.6923137776598</v>
      </c>
      <c r="M95">
        <v>2857</v>
      </c>
      <c r="O95" s="5" t="s">
        <v>127</v>
      </c>
      <c r="P95" s="7">
        <v>3031</v>
      </c>
      <c r="Q95" s="7">
        <v>3106.1634080615099</v>
      </c>
      <c r="R95" s="7">
        <v>3177.67047443613</v>
      </c>
      <c r="S95" s="7">
        <v>3179.2569337831701</v>
      </c>
      <c r="T95" s="7">
        <v>3104.03238828245</v>
      </c>
      <c r="U95" s="7">
        <v>3333.4398059199898</v>
      </c>
    </row>
    <row r="96" spans="5:21" x14ac:dyDescent="0.25">
      <c r="E96" t="s">
        <v>301</v>
      </c>
      <c r="F96" t="s">
        <v>501</v>
      </c>
      <c r="G96" t="s">
        <v>131</v>
      </c>
      <c r="H96">
        <v>3007.9840329738499</v>
      </c>
      <c r="I96">
        <v>2891.1240962602401</v>
      </c>
      <c r="J96">
        <v>2988.2022216860901</v>
      </c>
      <c r="K96">
        <v>3038.46084288663</v>
      </c>
      <c r="L96">
        <v>3043.0305332070502</v>
      </c>
      <c r="M96">
        <v>2914</v>
      </c>
      <c r="O96" s="5" t="s">
        <v>128</v>
      </c>
      <c r="P96" s="7">
        <v>3000</v>
      </c>
      <c r="Q96" s="7">
        <v>3065.8100309082702</v>
      </c>
      <c r="R96" s="7">
        <v>3111.6695220168599</v>
      </c>
      <c r="S96" s="7">
        <v>3112.8553841370099</v>
      </c>
      <c r="T96" s="7">
        <v>3036.3242130386402</v>
      </c>
      <c r="U96" s="7">
        <v>3150.2941175137698</v>
      </c>
    </row>
    <row r="97" spans="5:21" x14ac:dyDescent="0.25">
      <c r="E97" t="s">
        <v>302</v>
      </c>
      <c r="F97" t="s">
        <v>501</v>
      </c>
      <c r="G97" t="s">
        <v>132</v>
      </c>
      <c r="H97">
        <v>3016.9094745770599</v>
      </c>
      <c r="I97">
        <v>2879.7357612688402</v>
      </c>
      <c r="J97">
        <v>2997.0532768688399</v>
      </c>
      <c r="K97">
        <v>3041.1891152108501</v>
      </c>
      <c r="L97">
        <v>3045.8281214415401</v>
      </c>
      <c r="M97">
        <v>2907</v>
      </c>
      <c r="O97" s="5" t="s">
        <v>129</v>
      </c>
      <c r="P97" s="7">
        <v>2863</v>
      </c>
      <c r="Q97" s="7">
        <v>3013.37665757377</v>
      </c>
      <c r="R97" s="7">
        <v>3000.7659473106301</v>
      </c>
      <c r="S97" s="7">
        <v>3003.1529888100299</v>
      </c>
      <c r="T97" s="7">
        <v>2924.8795203722698</v>
      </c>
      <c r="U97" s="7">
        <v>2999.3472369690298</v>
      </c>
    </row>
    <row r="98" spans="5:21" x14ac:dyDescent="0.25">
      <c r="E98" t="s">
        <v>303</v>
      </c>
      <c r="F98" t="s">
        <v>502</v>
      </c>
      <c r="G98" t="s">
        <v>26</v>
      </c>
      <c r="H98">
        <v>2863.6202341741</v>
      </c>
      <c r="I98">
        <v>2838.2853703148899</v>
      </c>
      <c r="J98">
        <v>2968.7587999719599</v>
      </c>
      <c r="K98">
        <v>2983.9456337553902</v>
      </c>
      <c r="L98">
        <v>2947.6591856011901</v>
      </c>
      <c r="M98">
        <v>2816</v>
      </c>
      <c r="O98" s="5" t="s">
        <v>130</v>
      </c>
      <c r="P98" s="7">
        <v>2857</v>
      </c>
      <c r="Q98" s="7">
        <v>3001.3574994875898</v>
      </c>
      <c r="R98" s="7">
        <v>3012.6923137776598</v>
      </c>
      <c r="S98" s="7">
        <v>3010.2938218552499</v>
      </c>
      <c r="T98" s="7">
        <v>2896.38121932066</v>
      </c>
      <c r="U98" s="7">
        <v>2967.49533526908</v>
      </c>
    </row>
    <row r="99" spans="5:21" x14ac:dyDescent="0.25">
      <c r="E99" t="s">
        <v>304</v>
      </c>
      <c r="F99" t="s">
        <v>502</v>
      </c>
      <c r="G99" t="s">
        <v>27</v>
      </c>
      <c r="H99">
        <v>2862.0372149199502</v>
      </c>
      <c r="I99">
        <v>2832.58397121398</v>
      </c>
      <c r="J99">
        <v>2984.8928630741102</v>
      </c>
      <c r="K99">
        <v>2987.05878218916</v>
      </c>
      <c r="L99">
        <v>2952.6854615581201</v>
      </c>
      <c r="M99">
        <v>2824</v>
      </c>
      <c r="O99" s="5" t="s">
        <v>131</v>
      </c>
      <c r="P99" s="7">
        <v>2914</v>
      </c>
      <c r="Q99" s="7">
        <v>3007.9840329738499</v>
      </c>
      <c r="R99" s="7">
        <v>3043.0305332070502</v>
      </c>
      <c r="S99" s="7">
        <v>3038.46084288663</v>
      </c>
      <c r="T99" s="7">
        <v>2891.1240962602401</v>
      </c>
      <c r="U99" s="7">
        <v>2988.2022216860901</v>
      </c>
    </row>
    <row r="100" spans="5:21" x14ac:dyDescent="0.25">
      <c r="E100" t="s">
        <v>305</v>
      </c>
      <c r="F100" t="s">
        <v>502</v>
      </c>
      <c r="G100" t="s">
        <v>28</v>
      </c>
      <c r="H100">
        <v>2872.2397873517102</v>
      </c>
      <c r="I100">
        <v>2813.4272557937502</v>
      </c>
      <c r="J100">
        <v>2944.5693978385302</v>
      </c>
      <c r="K100">
        <v>2983.6169050306098</v>
      </c>
      <c r="L100">
        <v>2944.2076786370199</v>
      </c>
      <c r="M100">
        <v>2821</v>
      </c>
      <c r="O100" s="5" t="s">
        <v>132</v>
      </c>
      <c r="P100" s="7">
        <v>2907</v>
      </c>
      <c r="Q100" s="7">
        <v>3016.9094745770599</v>
      </c>
      <c r="R100" s="7">
        <v>3045.8281214415401</v>
      </c>
      <c r="S100" s="7">
        <v>3041.1891152108501</v>
      </c>
      <c r="T100" s="7">
        <v>2879.7357612688402</v>
      </c>
      <c r="U100" s="7">
        <v>2997.0532768688399</v>
      </c>
    </row>
    <row r="101" spans="5:21" x14ac:dyDescent="0.25">
      <c r="E101" t="s">
        <v>306</v>
      </c>
      <c r="F101" t="s">
        <v>502</v>
      </c>
      <c r="G101" t="s">
        <v>29</v>
      </c>
      <c r="H101">
        <v>2907.7609959512802</v>
      </c>
      <c r="I101">
        <v>2822.6321850468898</v>
      </c>
      <c r="J101">
        <v>2934.7896397311001</v>
      </c>
      <c r="K101">
        <v>3002.1500270956099</v>
      </c>
      <c r="L101">
        <v>2962.9592551660598</v>
      </c>
      <c r="M101">
        <v>2822</v>
      </c>
    </row>
    <row r="102" spans="5:21" x14ac:dyDescent="0.25">
      <c r="E102" t="s">
        <v>307</v>
      </c>
      <c r="F102" t="s">
        <v>502</v>
      </c>
      <c r="G102" t="s">
        <v>30</v>
      </c>
      <c r="H102">
        <v>2881.0477752419501</v>
      </c>
      <c r="I102">
        <v>2810.7274854648099</v>
      </c>
      <c r="J102">
        <v>2858.4393703267901</v>
      </c>
      <c r="K102">
        <v>2997.02568664093</v>
      </c>
      <c r="L102">
        <v>2960.7618936774202</v>
      </c>
      <c r="M102">
        <v>2813</v>
      </c>
    </row>
    <row r="103" spans="5:21" x14ac:dyDescent="0.25">
      <c r="E103" t="s">
        <v>308</v>
      </c>
      <c r="F103" t="s">
        <v>502</v>
      </c>
      <c r="G103" t="s">
        <v>31</v>
      </c>
      <c r="H103">
        <v>2874.9385282109101</v>
      </c>
      <c r="I103">
        <v>2813.1582092215699</v>
      </c>
      <c r="J103">
        <v>2839.5963195731902</v>
      </c>
      <c r="K103">
        <v>3009.2351501742401</v>
      </c>
      <c r="L103">
        <v>3025.9197279382001</v>
      </c>
      <c r="M103">
        <v>2807</v>
      </c>
    </row>
    <row r="104" spans="5:21" x14ac:dyDescent="0.25">
      <c r="E104" t="s">
        <v>309</v>
      </c>
      <c r="F104" t="s">
        <v>502</v>
      </c>
      <c r="G104" t="s">
        <v>32</v>
      </c>
      <c r="H104">
        <v>2908.7296756610699</v>
      </c>
      <c r="I104">
        <v>2818.6198648643299</v>
      </c>
      <c r="J104">
        <v>2862.8745782742299</v>
      </c>
      <c r="K104">
        <v>3023.3121342291101</v>
      </c>
      <c r="L104">
        <v>2961.2490264908001</v>
      </c>
      <c r="M104">
        <v>2862</v>
      </c>
    </row>
    <row r="105" spans="5:21" x14ac:dyDescent="0.25">
      <c r="E105" t="s">
        <v>310</v>
      </c>
      <c r="F105" t="s">
        <v>502</v>
      </c>
      <c r="G105" t="s">
        <v>33</v>
      </c>
      <c r="H105">
        <v>2908.0626420362901</v>
      </c>
      <c r="I105">
        <v>2808.5297210771901</v>
      </c>
      <c r="J105">
        <v>2851.47370125305</v>
      </c>
      <c r="K105">
        <v>3020.3280630826398</v>
      </c>
      <c r="L105">
        <v>2957.0356835468401</v>
      </c>
      <c r="M105">
        <v>2864</v>
      </c>
    </row>
    <row r="106" spans="5:21" x14ac:dyDescent="0.25">
      <c r="E106" t="s">
        <v>311</v>
      </c>
      <c r="F106" t="s">
        <v>502</v>
      </c>
      <c r="G106" t="s">
        <v>34</v>
      </c>
      <c r="H106">
        <v>2915.2251859206899</v>
      </c>
      <c r="I106">
        <v>2757.84316318111</v>
      </c>
      <c r="J106">
        <v>2875.6215020178101</v>
      </c>
      <c r="K106">
        <v>2993.1448231480699</v>
      </c>
      <c r="L106">
        <v>2948.8038483740502</v>
      </c>
      <c r="M106">
        <v>2846</v>
      </c>
    </row>
    <row r="107" spans="5:21" x14ac:dyDescent="0.25">
      <c r="E107" t="s">
        <v>312</v>
      </c>
      <c r="F107" t="s">
        <v>502</v>
      </c>
      <c r="G107" t="s">
        <v>35</v>
      </c>
      <c r="H107">
        <v>2888.6537225111902</v>
      </c>
      <c r="I107">
        <v>2747.4806035251599</v>
      </c>
      <c r="J107">
        <v>2873.0444127965202</v>
      </c>
      <c r="K107">
        <v>2978.5353578317399</v>
      </c>
      <c r="L107">
        <v>2925.3093008577698</v>
      </c>
      <c r="M107">
        <v>2828</v>
      </c>
    </row>
    <row r="108" spans="5:21" x14ac:dyDescent="0.25">
      <c r="E108" t="s">
        <v>313</v>
      </c>
      <c r="F108" t="s">
        <v>502</v>
      </c>
      <c r="G108" t="s">
        <v>36</v>
      </c>
      <c r="H108">
        <v>2872.0892322787199</v>
      </c>
      <c r="I108">
        <v>2753.1620597215801</v>
      </c>
      <c r="J108">
        <v>2914.9159888884101</v>
      </c>
      <c r="K108">
        <v>2925.0886019924801</v>
      </c>
      <c r="L108">
        <v>2917.95598678638</v>
      </c>
      <c r="M108">
        <v>2810</v>
      </c>
    </row>
    <row r="109" spans="5:21" x14ac:dyDescent="0.25">
      <c r="E109" t="s">
        <v>314</v>
      </c>
      <c r="F109" t="s">
        <v>502</v>
      </c>
      <c r="G109" t="s">
        <v>37</v>
      </c>
      <c r="H109">
        <v>2862.45367812213</v>
      </c>
      <c r="I109">
        <v>2767.4131021237899</v>
      </c>
      <c r="J109">
        <v>2900.5133450626499</v>
      </c>
      <c r="K109">
        <v>2928.1751386114402</v>
      </c>
      <c r="L109">
        <v>2921.4519093202998</v>
      </c>
      <c r="M109">
        <v>2803.6666666666665</v>
      </c>
    </row>
    <row r="110" spans="5:21" x14ac:dyDescent="0.25">
      <c r="E110" t="s">
        <v>315</v>
      </c>
      <c r="F110" t="s">
        <v>502</v>
      </c>
      <c r="G110" t="s">
        <v>38</v>
      </c>
      <c r="H110">
        <v>2879.0994006671099</v>
      </c>
      <c r="I110">
        <v>2755.4069821544799</v>
      </c>
      <c r="J110">
        <v>2844.5560474373901</v>
      </c>
      <c r="K110">
        <v>2910.68383440859</v>
      </c>
      <c r="L110">
        <v>2912.7561978597601</v>
      </c>
      <c r="M110">
        <v>2764.0589502361704</v>
      </c>
    </row>
    <row r="111" spans="5:21" x14ac:dyDescent="0.25">
      <c r="E111" t="s">
        <v>316</v>
      </c>
      <c r="F111" t="s">
        <v>502</v>
      </c>
      <c r="G111" t="s">
        <v>39</v>
      </c>
      <c r="H111">
        <v>2906.8290986096699</v>
      </c>
      <c r="I111">
        <v>2762.1852687661099</v>
      </c>
      <c r="J111">
        <v>2810.9353707503801</v>
      </c>
      <c r="K111">
        <v>2925.0216101055998</v>
      </c>
      <c r="L111">
        <v>2918.0176012421998</v>
      </c>
      <c r="M111">
        <v>2791</v>
      </c>
    </row>
    <row r="112" spans="5:21" x14ac:dyDescent="0.25">
      <c r="E112" t="s">
        <v>317</v>
      </c>
      <c r="F112" t="s">
        <v>502</v>
      </c>
      <c r="G112" t="s">
        <v>40</v>
      </c>
      <c r="H112">
        <v>2952.0739776004998</v>
      </c>
      <c r="I112">
        <v>2787.5215195378701</v>
      </c>
      <c r="J112">
        <v>2849.26085399469</v>
      </c>
      <c r="K112">
        <v>2963.0450293498998</v>
      </c>
      <c r="L112">
        <v>2957.9104336220598</v>
      </c>
      <c r="M112">
        <v>2855</v>
      </c>
    </row>
    <row r="113" spans="5:13" x14ac:dyDescent="0.25">
      <c r="E113" t="s">
        <v>318</v>
      </c>
      <c r="F113" t="s">
        <v>502</v>
      </c>
      <c r="G113" t="s">
        <v>41</v>
      </c>
      <c r="H113">
        <v>2965.6608476568099</v>
      </c>
      <c r="I113">
        <v>2804.7937664634901</v>
      </c>
      <c r="J113">
        <v>2912.0988209000402</v>
      </c>
      <c r="K113">
        <v>2978.83411717031</v>
      </c>
      <c r="L113">
        <v>2981.8610926162301</v>
      </c>
      <c r="M113">
        <v>2868</v>
      </c>
    </row>
    <row r="114" spans="5:13" x14ac:dyDescent="0.25">
      <c r="E114" t="s">
        <v>319</v>
      </c>
      <c r="F114" t="s">
        <v>502</v>
      </c>
      <c r="G114" t="s">
        <v>43</v>
      </c>
      <c r="H114">
        <v>2987.3471819424099</v>
      </c>
      <c r="I114">
        <v>2826.3068259633201</v>
      </c>
      <c r="J114">
        <v>2932.8064732072698</v>
      </c>
      <c r="K114">
        <v>3000.6123799993402</v>
      </c>
      <c r="L114">
        <v>3011.3243413544201</v>
      </c>
      <c r="M114">
        <v>2887</v>
      </c>
    </row>
    <row r="115" spans="5:13" x14ac:dyDescent="0.25">
      <c r="E115" t="s">
        <v>320</v>
      </c>
      <c r="F115" t="s">
        <v>502</v>
      </c>
      <c r="G115" t="s">
        <v>44</v>
      </c>
      <c r="H115">
        <v>3024.9849063267502</v>
      </c>
      <c r="I115">
        <v>2866.3412787851298</v>
      </c>
      <c r="J115">
        <v>3082.3107319087198</v>
      </c>
      <c r="K115">
        <v>3046.7946923701202</v>
      </c>
      <c r="L115">
        <v>3056.1440153234098</v>
      </c>
      <c r="M115">
        <v>2943</v>
      </c>
    </row>
    <row r="116" spans="5:13" x14ac:dyDescent="0.25">
      <c r="E116" t="s">
        <v>321</v>
      </c>
      <c r="F116" t="s">
        <v>502</v>
      </c>
      <c r="G116" t="s">
        <v>45</v>
      </c>
      <c r="H116">
        <v>3091.5458623734899</v>
      </c>
      <c r="I116">
        <v>2927.7504146338702</v>
      </c>
      <c r="J116">
        <v>3148.5220030674</v>
      </c>
      <c r="K116">
        <v>3111.5920020344802</v>
      </c>
      <c r="L116">
        <v>3114.6192496016902</v>
      </c>
      <c r="M116">
        <v>3010</v>
      </c>
    </row>
    <row r="117" spans="5:13" x14ac:dyDescent="0.25">
      <c r="E117" t="s">
        <v>322</v>
      </c>
      <c r="F117" t="s">
        <v>502</v>
      </c>
      <c r="G117" t="s">
        <v>46</v>
      </c>
      <c r="H117">
        <v>3149.7861435179798</v>
      </c>
      <c r="I117">
        <v>3002.0515349625698</v>
      </c>
      <c r="J117">
        <v>3267.6856180275499</v>
      </c>
      <c r="K117">
        <v>3181.4702110308999</v>
      </c>
      <c r="L117">
        <v>3179.48140529797</v>
      </c>
      <c r="M117">
        <v>3041</v>
      </c>
    </row>
    <row r="118" spans="5:13" x14ac:dyDescent="0.25">
      <c r="E118" t="s">
        <v>323</v>
      </c>
      <c r="F118" t="s">
        <v>502</v>
      </c>
      <c r="G118" t="s">
        <v>47</v>
      </c>
      <c r="H118">
        <v>3252.8767792359999</v>
      </c>
      <c r="I118">
        <v>3130.20418947802</v>
      </c>
      <c r="J118">
        <v>3252.4534926116298</v>
      </c>
      <c r="K118">
        <v>3328.1580964315299</v>
      </c>
      <c r="L118">
        <v>3340.8815856466699</v>
      </c>
      <c r="M118">
        <v>3166</v>
      </c>
    </row>
    <row r="119" spans="5:13" x14ac:dyDescent="0.25">
      <c r="E119" t="s">
        <v>324</v>
      </c>
      <c r="F119" t="s">
        <v>502</v>
      </c>
      <c r="G119" t="s">
        <v>49</v>
      </c>
      <c r="H119">
        <v>3358.33691497163</v>
      </c>
      <c r="I119">
        <v>3221.55207922922</v>
      </c>
      <c r="J119">
        <v>3405.2622326618698</v>
      </c>
      <c r="K119">
        <v>3430.4228720380002</v>
      </c>
      <c r="L119">
        <v>3401.90040339999</v>
      </c>
      <c r="M119">
        <v>3290</v>
      </c>
    </row>
    <row r="120" spans="5:13" x14ac:dyDescent="0.25">
      <c r="E120" t="s">
        <v>325</v>
      </c>
      <c r="F120" t="s">
        <v>502</v>
      </c>
      <c r="G120" t="s">
        <v>50</v>
      </c>
      <c r="H120">
        <v>3518.2947861365201</v>
      </c>
      <c r="I120">
        <v>3340.6846247406702</v>
      </c>
      <c r="J120">
        <v>3517.8322582083701</v>
      </c>
      <c r="K120">
        <v>3567.5516588247401</v>
      </c>
      <c r="L120">
        <v>3534.5117766670301</v>
      </c>
      <c r="M120">
        <v>3415</v>
      </c>
    </row>
    <row r="121" spans="5:13" x14ac:dyDescent="0.25">
      <c r="E121" t="s">
        <v>326</v>
      </c>
      <c r="F121" t="s">
        <v>502</v>
      </c>
      <c r="G121" t="s">
        <v>51</v>
      </c>
      <c r="H121">
        <v>3649.1495220346701</v>
      </c>
      <c r="I121">
        <v>3496.84013434905</v>
      </c>
      <c r="J121">
        <v>3633.68281028414</v>
      </c>
      <c r="K121">
        <v>3667.0404002978798</v>
      </c>
      <c r="L121">
        <v>3716.2327865265802</v>
      </c>
      <c r="M121">
        <v>3532</v>
      </c>
    </row>
    <row r="122" spans="5:13" x14ac:dyDescent="0.25">
      <c r="E122" t="s">
        <v>327</v>
      </c>
      <c r="F122" t="s">
        <v>502</v>
      </c>
      <c r="G122" t="s">
        <v>53</v>
      </c>
      <c r="H122">
        <v>4277.7705528012202</v>
      </c>
      <c r="I122">
        <v>3937.7000244262699</v>
      </c>
      <c r="J122">
        <v>3785.4791491207502</v>
      </c>
      <c r="K122">
        <v>4288.7074664608099</v>
      </c>
      <c r="L122">
        <v>4356.6800416853303</v>
      </c>
      <c r="M122">
        <v>4054</v>
      </c>
    </row>
    <row r="123" spans="5:13" x14ac:dyDescent="0.25">
      <c r="E123" t="s">
        <v>328</v>
      </c>
      <c r="F123" t="s">
        <v>502</v>
      </c>
      <c r="G123" t="s">
        <v>54</v>
      </c>
      <c r="H123">
        <v>4476.6102995401998</v>
      </c>
      <c r="I123">
        <v>4077.9474878494302</v>
      </c>
      <c r="J123">
        <v>4085.0329611819002</v>
      </c>
      <c r="K123">
        <v>4494.7318510696996</v>
      </c>
      <c r="L123">
        <v>4511.86352471387</v>
      </c>
      <c r="M123">
        <v>4179</v>
      </c>
    </row>
    <row r="124" spans="5:13" x14ac:dyDescent="0.25">
      <c r="E124" t="s">
        <v>329</v>
      </c>
      <c r="F124" t="s">
        <v>502</v>
      </c>
      <c r="G124" t="s">
        <v>55</v>
      </c>
      <c r="H124">
        <v>4539.7104420680598</v>
      </c>
      <c r="I124">
        <v>4141.3207606636097</v>
      </c>
      <c r="J124">
        <v>4521.7062895636</v>
      </c>
      <c r="K124">
        <v>4531.0108515882503</v>
      </c>
      <c r="L124">
        <v>4488.4342629513103</v>
      </c>
      <c r="M124">
        <v>4181</v>
      </c>
    </row>
    <row r="125" spans="5:13" x14ac:dyDescent="0.25">
      <c r="E125" t="s">
        <v>330</v>
      </c>
      <c r="F125" t="s">
        <v>502</v>
      </c>
      <c r="G125" t="s">
        <v>56</v>
      </c>
      <c r="H125">
        <v>4584.3539595273896</v>
      </c>
      <c r="I125">
        <v>4211.5364440478997</v>
      </c>
      <c r="J125">
        <v>4611.2863529155502</v>
      </c>
      <c r="K125">
        <v>4572.3546032779996</v>
      </c>
      <c r="L125">
        <v>4537.8114224787596</v>
      </c>
      <c r="M125">
        <v>4156</v>
      </c>
    </row>
    <row r="126" spans="5:13" x14ac:dyDescent="0.25">
      <c r="E126" t="s">
        <v>331</v>
      </c>
      <c r="F126" t="s">
        <v>502</v>
      </c>
      <c r="G126" t="s">
        <v>57</v>
      </c>
      <c r="H126">
        <v>4775.71988818517</v>
      </c>
      <c r="I126">
        <v>4392.2431211903004</v>
      </c>
      <c r="J126">
        <v>4729.3865376890099</v>
      </c>
      <c r="K126">
        <v>4689.4804256113803</v>
      </c>
      <c r="L126">
        <v>4694.4729958595999</v>
      </c>
      <c r="M126">
        <v>4128</v>
      </c>
    </row>
    <row r="127" spans="5:13" x14ac:dyDescent="0.25">
      <c r="E127" t="s">
        <v>332</v>
      </c>
      <c r="F127" t="s">
        <v>502</v>
      </c>
      <c r="G127" t="s">
        <v>58</v>
      </c>
      <c r="H127">
        <v>4813.8427806314803</v>
      </c>
      <c r="I127">
        <v>4483.8128751386903</v>
      </c>
      <c r="J127">
        <v>4736.3850396538701</v>
      </c>
      <c r="K127">
        <v>4747.47213083511</v>
      </c>
      <c r="L127">
        <v>4779.5150518600703</v>
      </c>
      <c r="M127">
        <v>4224</v>
      </c>
    </row>
    <row r="128" spans="5:13" x14ac:dyDescent="0.25">
      <c r="E128" t="s">
        <v>333</v>
      </c>
      <c r="F128" t="s">
        <v>502</v>
      </c>
      <c r="G128" t="s">
        <v>59</v>
      </c>
      <c r="H128">
        <v>4806.4524550854803</v>
      </c>
      <c r="I128">
        <v>4487.5942061749702</v>
      </c>
      <c r="J128">
        <v>4802.99799648312</v>
      </c>
      <c r="K128">
        <v>4788.4607789051797</v>
      </c>
      <c r="L128">
        <v>4781.5467763350798</v>
      </c>
      <c r="M128">
        <v>4234</v>
      </c>
    </row>
    <row r="129" spans="5:13" x14ac:dyDescent="0.25">
      <c r="E129" t="s">
        <v>334</v>
      </c>
      <c r="F129" t="s">
        <v>502</v>
      </c>
      <c r="G129" t="s">
        <v>60</v>
      </c>
      <c r="H129">
        <v>4833.8809235810604</v>
      </c>
      <c r="I129">
        <v>4484.8028568202799</v>
      </c>
      <c r="J129">
        <v>4717.0116404373402</v>
      </c>
      <c r="K129">
        <v>4786.5865010124498</v>
      </c>
      <c r="L129">
        <v>4797.8373832071302</v>
      </c>
      <c r="M129">
        <v>4254</v>
      </c>
    </row>
    <row r="130" spans="5:13" x14ac:dyDescent="0.25">
      <c r="E130" t="s">
        <v>335</v>
      </c>
      <c r="F130" t="s">
        <v>502</v>
      </c>
      <c r="G130" t="s">
        <v>62</v>
      </c>
      <c r="H130">
        <v>4795.3700472632199</v>
      </c>
      <c r="I130">
        <v>4521.2306414067998</v>
      </c>
      <c r="J130">
        <v>4677.6761117649303</v>
      </c>
      <c r="K130">
        <v>4816.1133304968198</v>
      </c>
      <c r="L130">
        <v>4782.7235986065098</v>
      </c>
      <c r="M130">
        <v>4097</v>
      </c>
    </row>
    <row r="131" spans="5:13" x14ac:dyDescent="0.25">
      <c r="E131" t="s">
        <v>336</v>
      </c>
      <c r="F131" t="s">
        <v>502</v>
      </c>
      <c r="G131" t="s">
        <v>63</v>
      </c>
      <c r="H131">
        <v>4821.4193500751799</v>
      </c>
      <c r="I131">
        <v>4505.0331763456597</v>
      </c>
      <c r="J131">
        <v>4687.8340217984796</v>
      </c>
      <c r="K131">
        <v>4771.3362916200003</v>
      </c>
      <c r="L131">
        <v>4784.75655324337</v>
      </c>
      <c r="M131">
        <v>4205</v>
      </c>
    </row>
    <row r="132" spans="5:13" x14ac:dyDescent="0.25">
      <c r="E132" t="s">
        <v>337</v>
      </c>
      <c r="F132" t="s">
        <v>502</v>
      </c>
      <c r="G132" t="s">
        <v>64</v>
      </c>
      <c r="H132">
        <v>4688.3561499162197</v>
      </c>
      <c r="I132">
        <v>4431.0246169666498</v>
      </c>
      <c r="J132">
        <v>4637.8640812207896</v>
      </c>
      <c r="K132">
        <v>4641.0583180705198</v>
      </c>
      <c r="L132">
        <v>4650.7810635731903</v>
      </c>
      <c r="M132">
        <v>4233</v>
      </c>
    </row>
    <row r="133" spans="5:13" x14ac:dyDescent="0.25">
      <c r="E133" t="s">
        <v>338</v>
      </c>
      <c r="F133" t="s">
        <v>502</v>
      </c>
      <c r="G133" t="s">
        <v>65</v>
      </c>
      <c r="H133">
        <v>4605.0050581695004</v>
      </c>
      <c r="I133">
        <v>4370.0360130773797</v>
      </c>
      <c r="J133">
        <v>4601.417639153</v>
      </c>
      <c r="K133">
        <v>4660.9832720692102</v>
      </c>
      <c r="L133">
        <v>4596.4505616693205</v>
      </c>
      <c r="M133">
        <v>4239</v>
      </c>
    </row>
    <row r="134" spans="5:13" x14ac:dyDescent="0.25">
      <c r="E134" t="s">
        <v>339</v>
      </c>
      <c r="F134" t="s">
        <v>502</v>
      </c>
      <c r="G134" t="s">
        <v>67</v>
      </c>
      <c r="H134">
        <v>4569.79267969993</v>
      </c>
      <c r="I134">
        <v>4388.8742448575304</v>
      </c>
      <c r="J134">
        <v>4534.3328430844203</v>
      </c>
      <c r="K134">
        <v>4623.2157656420604</v>
      </c>
      <c r="L134">
        <v>4635.2568495656596</v>
      </c>
      <c r="M134">
        <v>4379</v>
      </c>
    </row>
    <row r="135" spans="5:13" x14ac:dyDescent="0.25">
      <c r="E135" t="s">
        <v>340</v>
      </c>
      <c r="F135" t="s">
        <v>502</v>
      </c>
      <c r="G135" t="s">
        <v>68</v>
      </c>
      <c r="H135">
        <v>4526.2782262788596</v>
      </c>
      <c r="I135">
        <v>4361.5228245260496</v>
      </c>
      <c r="J135">
        <v>4479.1193786865897</v>
      </c>
      <c r="K135">
        <v>4595.9575049425503</v>
      </c>
      <c r="L135">
        <v>4607.71808061097</v>
      </c>
      <c r="M135">
        <v>4370</v>
      </c>
    </row>
    <row r="136" spans="5:13" x14ac:dyDescent="0.25">
      <c r="E136" t="s">
        <v>341</v>
      </c>
      <c r="F136" t="s">
        <v>502</v>
      </c>
      <c r="G136" t="s">
        <v>69</v>
      </c>
      <c r="H136">
        <v>4476.4212808559396</v>
      </c>
      <c r="I136">
        <v>4305.5410283564697</v>
      </c>
      <c r="J136">
        <v>4573.2047866243101</v>
      </c>
      <c r="K136">
        <v>4527.1580672821601</v>
      </c>
      <c r="L136">
        <v>4535.8558656568503</v>
      </c>
      <c r="M136">
        <v>4224</v>
      </c>
    </row>
    <row r="137" spans="5:13" x14ac:dyDescent="0.25">
      <c r="E137" t="s">
        <v>342</v>
      </c>
      <c r="F137" t="s">
        <v>502</v>
      </c>
      <c r="G137" t="s">
        <v>70</v>
      </c>
      <c r="H137">
        <v>4460.9658579187499</v>
      </c>
      <c r="I137">
        <v>4272.1736285841998</v>
      </c>
      <c r="J137">
        <v>4502.2692209527004</v>
      </c>
      <c r="K137">
        <v>4524.7043408535001</v>
      </c>
      <c r="L137">
        <v>4535.9882189362797</v>
      </c>
      <c r="M137">
        <v>4147</v>
      </c>
    </row>
    <row r="138" spans="5:13" x14ac:dyDescent="0.25">
      <c r="E138" t="s">
        <v>343</v>
      </c>
      <c r="F138" t="s">
        <v>502</v>
      </c>
      <c r="G138" t="s">
        <v>72</v>
      </c>
      <c r="H138">
        <v>4247.2144575661196</v>
      </c>
      <c r="I138">
        <v>4072.9152165546302</v>
      </c>
      <c r="J138">
        <v>4288.6756178340602</v>
      </c>
      <c r="K138">
        <v>4362.5487811720895</v>
      </c>
      <c r="L138">
        <v>4368.4157309331003</v>
      </c>
      <c r="M138">
        <v>3951</v>
      </c>
    </row>
    <row r="139" spans="5:13" x14ac:dyDescent="0.25">
      <c r="E139" t="s">
        <v>344</v>
      </c>
      <c r="F139" t="s">
        <v>502</v>
      </c>
      <c r="G139" t="s">
        <v>73</v>
      </c>
      <c r="H139">
        <v>4167.90017395211</v>
      </c>
      <c r="I139">
        <v>4037.8294163610699</v>
      </c>
      <c r="J139">
        <v>4229.9622338918198</v>
      </c>
      <c r="K139">
        <v>4298.67197472925</v>
      </c>
      <c r="L139">
        <v>4310.6036123964304</v>
      </c>
      <c r="M139">
        <v>3911</v>
      </c>
    </row>
    <row r="140" spans="5:13" x14ac:dyDescent="0.25">
      <c r="E140" t="s">
        <v>345</v>
      </c>
      <c r="F140" t="s">
        <v>502</v>
      </c>
      <c r="G140" t="s">
        <v>74</v>
      </c>
      <c r="H140">
        <v>4150.1762567995202</v>
      </c>
      <c r="I140">
        <v>3995.3808548566199</v>
      </c>
      <c r="J140">
        <v>4239.7958298649401</v>
      </c>
      <c r="K140">
        <v>4264.5111340377198</v>
      </c>
      <c r="L140">
        <v>4277.1859983672703</v>
      </c>
      <c r="M140">
        <v>3882</v>
      </c>
    </row>
    <row r="141" spans="5:13" x14ac:dyDescent="0.25">
      <c r="E141" t="s">
        <v>346</v>
      </c>
      <c r="F141" t="s">
        <v>502</v>
      </c>
      <c r="G141" t="s">
        <v>75</v>
      </c>
      <c r="H141">
        <v>4051.0208266036998</v>
      </c>
      <c r="I141">
        <v>3958.9164157770902</v>
      </c>
      <c r="J141">
        <v>4223.9666162597696</v>
      </c>
      <c r="K141">
        <v>4183.1237291671296</v>
      </c>
      <c r="L141">
        <v>4194.3141620618599</v>
      </c>
      <c r="M141">
        <v>3953</v>
      </c>
    </row>
    <row r="142" spans="5:13" x14ac:dyDescent="0.25">
      <c r="E142" t="s">
        <v>347</v>
      </c>
      <c r="F142" t="s">
        <v>502</v>
      </c>
      <c r="G142" t="s">
        <v>76</v>
      </c>
      <c r="H142">
        <v>3941.0098292293101</v>
      </c>
      <c r="I142">
        <v>3867.19829487982</v>
      </c>
      <c r="J142">
        <v>4121.0852655026601</v>
      </c>
      <c r="K142">
        <v>4124.51192176922</v>
      </c>
      <c r="L142">
        <v>4137.9418462069898</v>
      </c>
      <c r="M142">
        <v>4066</v>
      </c>
    </row>
    <row r="143" spans="5:13" x14ac:dyDescent="0.25">
      <c r="E143" t="s">
        <v>348</v>
      </c>
      <c r="F143" t="s">
        <v>502</v>
      </c>
      <c r="G143" t="s">
        <v>77</v>
      </c>
      <c r="H143">
        <v>3939.4563026004998</v>
      </c>
      <c r="I143">
        <v>3857.5789037458699</v>
      </c>
      <c r="J143">
        <v>3975.0754538232</v>
      </c>
      <c r="K143">
        <v>4099.9416533759104</v>
      </c>
      <c r="L143">
        <v>4112.3137763243403</v>
      </c>
      <c r="M143">
        <v>4011</v>
      </c>
    </row>
    <row r="144" spans="5:13" x14ac:dyDescent="0.25">
      <c r="E144" t="s">
        <v>349</v>
      </c>
      <c r="F144" t="s">
        <v>502</v>
      </c>
      <c r="G144" t="s">
        <v>78</v>
      </c>
      <c r="H144">
        <v>3903.7303065134101</v>
      </c>
      <c r="I144">
        <v>3828.82090565411</v>
      </c>
      <c r="J144">
        <v>4020.1278484549298</v>
      </c>
      <c r="K144">
        <v>4064.6956316603901</v>
      </c>
      <c r="L144">
        <v>4076.8719750562</v>
      </c>
      <c r="M144">
        <v>3939</v>
      </c>
    </row>
    <row r="145" spans="5:13" x14ac:dyDescent="0.25">
      <c r="E145" t="s">
        <v>350</v>
      </c>
      <c r="F145" t="s">
        <v>502</v>
      </c>
      <c r="G145" t="s">
        <v>79</v>
      </c>
      <c r="H145">
        <v>3882.0596136034301</v>
      </c>
      <c r="I145">
        <v>3808.2171727969098</v>
      </c>
      <c r="J145">
        <v>4035.3016558017498</v>
      </c>
      <c r="K145">
        <v>4034.0662391400801</v>
      </c>
      <c r="L145">
        <v>4046.0646668141599</v>
      </c>
      <c r="M145">
        <v>3884</v>
      </c>
    </row>
    <row r="146" spans="5:13" x14ac:dyDescent="0.25">
      <c r="E146" t="s">
        <v>351</v>
      </c>
      <c r="F146" t="s">
        <v>502</v>
      </c>
      <c r="G146" t="s">
        <v>81</v>
      </c>
      <c r="H146">
        <v>3810.23963732417</v>
      </c>
      <c r="I146">
        <v>3731.5179666552299</v>
      </c>
      <c r="J146">
        <v>3997.7495963070401</v>
      </c>
      <c r="K146">
        <v>3892.3011102119199</v>
      </c>
      <c r="L146">
        <v>3903.5433398699302</v>
      </c>
      <c r="M146">
        <v>3637</v>
      </c>
    </row>
    <row r="147" spans="5:13" x14ac:dyDescent="0.25">
      <c r="E147" t="s">
        <v>352</v>
      </c>
      <c r="F147" t="s">
        <v>502</v>
      </c>
      <c r="G147" t="s">
        <v>82</v>
      </c>
      <c r="H147">
        <v>3786.31271613335</v>
      </c>
      <c r="I147">
        <v>3714.5058928555</v>
      </c>
      <c r="J147">
        <v>3852.5311170764498</v>
      </c>
      <c r="K147">
        <v>3880.5943178349598</v>
      </c>
      <c r="L147">
        <v>3892.5086991410199</v>
      </c>
      <c r="M147">
        <v>3626</v>
      </c>
    </row>
    <row r="148" spans="5:13" x14ac:dyDescent="0.25">
      <c r="E148" t="s">
        <v>353</v>
      </c>
      <c r="F148" t="s">
        <v>502</v>
      </c>
      <c r="G148" t="s">
        <v>83</v>
      </c>
      <c r="H148">
        <v>3752.4900871046698</v>
      </c>
      <c r="I148">
        <v>3692.3464646081102</v>
      </c>
      <c r="J148">
        <v>3746.1095268413301</v>
      </c>
      <c r="K148">
        <v>3874.4632880828899</v>
      </c>
      <c r="L148">
        <v>3886.5007035768899</v>
      </c>
      <c r="M148">
        <v>3670</v>
      </c>
    </row>
    <row r="149" spans="5:13" x14ac:dyDescent="0.25">
      <c r="E149" t="s">
        <v>354</v>
      </c>
      <c r="F149" t="s">
        <v>502</v>
      </c>
      <c r="G149" t="s">
        <v>84</v>
      </c>
      <c r="H149">
        <v>3781.0273675609101</v>
      </c>
      <c r="I149">
        <v>3689.0066162941198</v>
      </c>
      <c r="J149">
        <v>3705.1169090778299</v>
      </c>
      <c r="K149">
        <v>3875.19690678389</v>
      </c>
      <c r="L149">
        <v>3896.3296395297498</v>
      </c>
      <c r="M149">
        <v>3752</v>
      </c>
    </row>
    <row r="150" spans="5:13" x14ac:dyDescent="0.25">
      <c r="E150" t="s">
        <v>355</v>
      </c>
      <c r="F150" t="s">
        <v>502</v>
      </c>
      <c r="G150" t="s">
        <v>85</v>
      </c>
      <c r="H150">
        <v>3869.9347178304802</v>
      </c>
      <c r="I150">
        <v>3653.2311755618798</v>
      </c>
      <c r="J150">
        <v>3749.4587809074901</v>
      </c>
      <c r="K150">
        <v>3916.2262527756702</v>
      </c>
      <c r="L150">
        <v>3932.4217256370898</v>
      </c>
      <c r="M150">
        <v>3838</v>
      </c>
    </row>
    <row r="151" spans="5:13" x14ac:dyDescent="0.25">
      <c r="E151" t="s">
        <v>356</v>
      </c>
      <c r="F151" t="s">
        <v>502</v>
      </c>
      <c r="G151" t="s">
        <v>86</v>
      </c>
      <c r="H151">
        <v>3892.97827307855</v>
      </c>
      <c r="I151">
        <v>3661.9110260243801</v>
      </c>
      <c r="J151">
        <v>3735.3142294299701</v>
      </c>
      <c r="K151">
        <v>3924.3834198723898</v>
      </c>
      <c r="L151">
        <v>3947.99416064254</v>
      </c>
      <c r="M151">
        <v>3888</v>
      </c>
    </row>
    <row r="152" spans="5:13" x14ac:dyDescent="0.25">
      <c r="E152" t="s">
        <v>357</v>
      </c>
      <c r="F152" t="s">
        <v>502</v>
      </c>
      <c r="G152" t="s">
        <v>87</v>
      </c>
      <c r="H152">
        <v>3870.5379956248298</v>
      </c>
      <c r="I152">
        <v>3682.1138059723899</v>
      </c>
      <c r="J152">
        <v>3858.61998165143</v>
      </c>
      <c r="K152">
        <v>3941.8888999242799</v>
      </c>
      <c r="L152">
        <v>3980.9728095484402</v>
      </c>
      <c r="M152">
        <v>3869</v>
      </c>
    </row>
    <row r="153" spans="5:13" x14ac:dyDescent="0.25">
      <c r="E153" t="s">
        <v>358</v>
      </c>
      <c r="F153" t="s">
        <v>502</v>
      </c>
      <c r="G153" t="s">
        <v>88</v>
      </c>
      <c r="H153">
        <v>3873.2822722935998</v>
      </c>
      <c r="I153">
        <v>3723.7266104467699</v>
      </c>
      <c r="J153">
        <v>3975.6559515754998</v>
      </c>
      <c r="K153">
        <v>3950.0094908179099</v>
      </c>
      <c r="L153">
        <v>3967.34507224655</v>
      </c>
      <c r="M153">
        <v>3853</v>
      </c>
    </row>
    <row r="154" spans="5:13" x14ac:dyDescent="0.25">
      <c r="E154" t="s">
        <v>359</v>
      </c>
      <c r="F154" t="s">
        <v>502</v>
      </c>
      <c r="G154" t="s">
        <v>90</v>
      </c>
      <c r="H154">
        <v>4037.6185220047</v>
      </c>
      <c r="I154">
        <v>3881.7333749009199</v>
      </c>
      <c r="J154">
        <v>4031.5580814374798</v>
      </c>
      <c r="K154">
        <v>4149.03814111469</v>
      </c>
      <c r="L154">
        <v>4172.2530342623904</v>
      </c>
      <c r="M154">
        <v>3771</v>
      </c>
    </row>
    <row r="155" spans="5:13" x14ac:dyDescent="0.25">
      <c r="E155" t="s">
        <v>360</v>
      </c>
      <c r="F155" t="s">
        <v>502</v>
      </c>
      <c r="G155" t="s">
        <v>91</v>
      </c>
      <c r="H155">
        <v>3995.4349759622501</v>
      </c>
      <c r="I155">
        <v>3839.3755372785999</v>
      </c>
      <c r="J155">
        <v>4018.7391385536198</v>
      </c>
      <c r="K155">
        <v>4118.9271063955703</v>
      </c>
      <c r="L155">
        <v>4126.8387940696102</v>
      </c>
      <c r="M155">
        <v>3725</v>
      </c>
    </row>
    <row r="156" spans="5:13" x14ac:dyDescent="0.25">
      <c r="E156" t="s">
        <v>361</v>
      </c>
      <c r="F156" t="s">
        <v>502</v>
      </c>
      <c r="G156" t="s">
        <v>92</v>
      </c>
      <c r="H156">
        <v>3993.1398325394598</v>
      </c>
      <c r="I156">
        <v>3822.5317564001798</v>
      </c>
      <c r="J156">
        <v>4040.9728475627699</v>
      </c>
      <c r="K156">
        <v>4105.0972949301804</v>
      </c>
      <c r="L156">
        <v>4114.3234343762797</v>
      </c>
      <c r="M156">
        <v>3718</v>
      </c>
    </row>
    <row r="157" spans="5:13" x14ac:dyDescent="0.25">
      <c r="E157" t="s">
        <v>362</v>
      </c>
      <c r="F157" t="s">
        <v>502</v>
      </c>
      <c r="G157" t="s">
        <v>93</v>
      </c>
      <c r="H157">
        <v>3943.17131750522</v>
      </c>
      <c r="I157">
        <v>3797.7223219255002</v>
      </c>
      <c r="J157">
        <v>4018.7201387373102</v>
      </c>
      <c r="K157">
        <v>4024.7232625729498</v>
      </c>
      <c r="L157">
        <v>4034.3449997740099</v>
      </c>
      <c r="M157">
        <v>3743</v>
      </c>
    </row>
    <row r="158" spans="5:13" x14ac:dyDescent="0.25">
      <c r="E158" t="s">
        <v>363</v>
      </c>
      <c r="F158" t="s">
        <v>502</v>
      </c>
      <c r="G158" t="s">
        <v>94</v>
      </c>
      <c r="H158">
        <v>4036.11182243843</v>
      </c>
      <c r="I158">
        <v>3854.31628034404</v>
      </c>
      <c r="J158">
        <v>4027.15383422487</v>
      </c>
      <c r="K158">
        <v>4134.2447636132601</v>
      </c>
      <c r="L158">
        <v>4132.09078921735</v>
      </c>
      <c r="M158">
        <v>3799</v>
      </c>
    </row>
    <row r="159" spans="5:13" x14ac:dyDescent="0.25">
      <c r="E159" t="s">
        <v>364</v>
      </c>
      <c r="F159" t="s">
        <v>502</v>
      </c>
      <c r="G159" t="s">
        <v>95</v>
      </c>
      <c r="H159">
        <v>4043.1304147470501</v>
      </c>
      <c r="I159">
        <v>3857.4243422996201</v>
      </c>
      <c r="J159">
        <v>4128.7103506028398</v>
      </c>
      <c r="K159">
        <v>4116.2589634809301</v>
      </c>
      <c r="L159">
        <v>4120.1726156386803</v>
      </c>
      <c r="M159">
        <v>3804</v>
      </c>
    </row>
    <row r="160" spans="5:13" x14ac:dyDescent="0.25">
      <c r="E160" t="s">
        <v>365</v>
      </c>
      <c r="F160" t="s">
        <v>502</v>
      </c>
      <c r="G160" t="s">
        <v>96</v>
      </c>
      <c r="H160">
        <v>4065.1100841873799</v>
      </c>
      <c r="I160">
        <v>3883.1932905892099</v>
      </c>
      <c r="J160">
        <v>4207.6033388849601</v>
      </c>
      <c r="K160">
        <v>4126.7895989264198</v>
      </c>
      <c r="L160">
        <v>4133.4340699090098</v>
      </c>
      <c r="M160">
        <v>3801</v>
      </c>
    </row>
    <row r="161" spans="5:13" x14ac:dyDescent="0.25">
      <c r="E161" t="s">
        <v>366</v>
      </c>
      <c r="F161" t="s">
        <v>502</v>
      </c>
      <c r="G161" t="s">
        <v>97</v>
      </c>
      <c r="H161">
        <v>4091.1786145433398</v>
      </c>
      <c r="I161">
        <v>3901.1163493224799</v>
      </c>
      <c r="J161">
        <v>4189.1700159391203</v>
      </c>
      <c r="K161">
        <v>4235.75447415899</v>
      </c>
      <c r="L161">
        <v>4214.1120131908801</v>
      </c>
      <c r="M161">
        <v>3765</v>
      </c>
    </row>
    <row r="162" spans="5:13" x14ac:dyDescent="0.25">
      <c r="E162" t="s">
        <v>367</v>
      </c>
      <c r="F162" t="s">
        <v>502</v>
      </c>
      <c r="G162" t="s">
        <v>98</v>
      </c>
      <c r="H162">
        <v>4133.8267689443701</v>
      </c>
      <c r="I162">
        <v>3938.8858761271399</v>
      </c>
      <c r="J162">
        <v>4150.26951655433</v>
      </c>
      <c r="K162">
        <v>4205.46828767223</v>
      </c>
      <c r="L162">
        <v>4219.3566850423604</v>
      </c>
      <c r="M162">
        <v>3872</v>
      </c>
    </row>
    <row r="163" spans="5:13" x14ac:dyDescent="0.25">
      <c r="E163" t="s">
        <v>368</v>
      </c>
      <c r="F163" t="s">
        <v>502</v>
      </c>
      <c r="G163" t="s">
        <v>99</v>
      </c>
      <c r="H163">
        <v>4109.1775875380499</v>
      </c>
      <c r="I163">
        <v>3925.9475039796398</v>
      </c>
      <c r="J163">
        <v>4127.4667474477501</v>
      </c>
      <c r="K163">
        <v>4207.0423355105004</v>
      </c>
      <c r="L163">
        <v>4199.0998235365096</v>
      </c>
      <c r="M163">
        <v>3868</v>
      </c>
    </row>
    <row r="164" spans="5:13" x14ac:dyDescent="0.25">
      <c r="E164" t="s">
        <v>369</v>
      </c>
      <c r="F164" t="s">
        <v>502</v>
      </c>
      <c r="G164" t="s">
        <v>100</v>
      </c>
      <c r="H164">
        <v>4089.1623789947498</v>
      </c>
      <c r="I164">
        <v>3904.6119432209198</v>
      </c>
      <c r="J164">
        <v>4143.2473650722304</v>
      </c>
      <c r="K164">
        <v>4176.7734286391596</v>
      </c>
      <c r="L164">
        <v>4182.99433470856</v>
      </c>
      <c r="M164">
        <v>3902</v>
      </c>
    </row>
    <row r="165" spans="5:13" x14ac:dyDescent="0.25">
      <c r="E165" t="s">
        <v>370</v>
      </c>
      <c r="F165" t="s">
        <v>502</v>
      </c>
      <c r="G165" t="s">
        <v>101</v>
      </c>
      <c r="H165">
        <v>4102.9697633019196</v>
      </c>
      <c r="I165">
        <v>3918.2483141196399</v>
      </c>
      <c r="J165">
        <v>4081.07353117103</v>
      </c>
      <c r="K165">
        <v>4186.5796962783597</v>
      </c>
      <c r="L165">
        <v>4201.5946385488296</v>
      </c>
      <c r="M165">
        <v>3869</v>
      </c>
    </row>
    <row r="166" spans="5:13" x14ac:dyDescent="0.25">
      <c r="E166" t="s">
        <v>371</v>
      </c>
      <c r="F166" t="s">
        <v>502</v>
      </c>
      <c r="G166" t="s">
        <v>103</v>
      </c>
      <c r="H166">
        <v>4101.18865954392</v>
      </c>
      <c r="I166">
        <v>3951.88501792442</v>
      </c>
      <c r="J166">
        <v>4189.9264391389597</v>
      </c>
      <c r="K166">
        <v>4236.1390626797302</v>
      </c>
      <c r="L166">
        <v>4224.4166645026899</v>
      </c>
      <c r="M166">
        <v>3859</v>
      </c>
    </row>
    <row r="167" spans="5:13" x14ac:dyDescent="0.25">
      <c r="E167" t="s">
        <v>372</v>
      </c>
      <c r="F167" t="s">
        <v>502</v>
      </c>
      <c r="G167" t="s">
        <v>104</v>
      </c>
      <c r="H167">
        <v>4117.8248553469502</v>
      </c>
      <c r="I167">
        <v>3965.8031079055299</v>
      </c>
      <c r="J167">
        <v>4127.1267488510102</v>
      </c>
      <c r="K167">
        <v>4262.8886324696496</v>
      </c>
      <c r="L167">
        <v>4277.4079575768301</v>
      </c>
      <c r="M167">
        <v>3920</v>
      </c>
    </row>
    <row r="168" spans="5:13" x14ac:dyDescent="0.25">
      <c r="E168" t="s">
        <v>373</v>
      </c>
      <c r="F168" t="s">
        <v>502</v>
      </c>
      <c r="G168" t="s">
        <v>105</v>
      </c>
      <c r="H168">
        <v>4110.8848438431396</v>
      </c>
      <c r="I168">
        <v>3972.9279139823502</v>
      </c>
      <c r="J168">
        <v>4209.74938642283</v>
      </c>
      <c r="K168">
        <v>4278.0953796764998</v>
      </c>
      <c r="L168">
        <v>4293.4773702222601</v>
      </c>
      <c r="M168">
        <v>3922</v>
      </c>
    </row>
    <row r="169" spans="5:13" x14ac:dyDescent="0.25">
      <c r="E169" t="s">
        <v>374</v>
      </c>
      <c r="F169" t="s">
        <v>502</v>
      </c>
      <c r="G169" t="s">
        <v>106</v>
      </c>
      <c r="H169">
        <v>4048.5357708268002</v>
      </c>
      <c r="I169">
        <v>3962.0813822626701</v>
      </c>
      <c r="J169">
        <v>4292.4657879591095</v>
      </c>
      <c r="K169">
        <v>4200.2047137568497</v>
      </c>
      <c r="L169">
        <v>4215.64062872263</v>
      </c>
      <c r="M169">
        <v>3844</v>
      </c>
    </row>
    <row r="170" spans="5:13" x14ac:dyDescent="0.25">
      <c r="E170" t="s">
        <v>375</v>
      </c>
      <c r="F170" t="s">
        <v>502</v>
      </c>
      <c r="G170" t="s">
        <v>107</v>
      </c>
      <c r="H170">
        <v>4241.3794298903604</v>
      </c>
      <c r="I170">
        <v>3993.8479416886198</v>
      </c>
      <c r="J170">
        <v>4385.1368618526103</v>
      </c>
      <c r="K170">
        <v>4311.7181476118603</v>
      </c>
      <c r="L170">
        <v>4327.4322123166903</v>
      </c>
      <c r="M170">
        <v>3808</v>
      </c>
    </row>
    <row r="171" spans="5:13" x14ac:dyDescent="0.25">
      <c r="E171" t="s">
        <v>376</v>
      </c>
      <c r="F171" t="s">
        <v>502</v>
      </c>
      <c r="G171" t="s">
        <v>108</v>
      </c>
      <c r="H171">
        <v>4273.9885921048299</v>
      </c>
      <c r="I171">
        <v>4139.6322515333204</v>
      </c>
      <c r="J171">
        <v>4237.1056064122004</v>
      </c>
      <c r="K171">
        <v>4336.6345321114704</v>
      </c>
      <c r="L171">
        <v>4351.9980242905704</v>
      </c>
      <c r="M171">
        <v>3981</v>
      </c>
    </row>
    <row r="172" spans="5:13" x14ac:dyDescent="0.25">
      <c r="E172" t="s">
        <v>377</v>
      </c>
      <c r="F172" t="s">
        <v>502</v>
      </c>
      <c r="G172" t="s">
        <v>110</v>
      </c>
      <c r="H172">
        <v>4325.8286963557903</v>
      </c>
      <c r="I172">
        <v>4266.6858770992403</v>
      </c>
      <c r="J172">
        <v>4469.9316025415001</v>
      </c>
      <c r="K172">
        <v>4395.2293166067302</v>
      </c>
      <c r="L172">
        <v>4411.7607060739801</v>
      </c>
      <c r="M172">
        <v>4137</v>
      </c>
    </row>
    <row r="173" spans="5:13" x14ac:dyDescent="0.25">
      <c r="E173" t="s">
        <v>378</v>
      </c>
      <c r="F173" t="s">
        <v>502</v>
      </c>
      <c r="G173" t="s">
        <v>111</v>
      </c>
      <c r="H173">
        <v>4367.7956415609497</v>
      </c>
      <c r="I173">
        <v>4289.3756359295603</v>
      </c>
      <c r="J173">
        <v>4470.0740894583396</v>
      </c>
      <c r="K173">
        <v>4442.8345124406396</v>
      </c>
      <c r="L173">
        <v>4441.7763773541301</v>
      </c>
      <c r="M173">
        <v>4225</v>
      </c>
    </row>
    <row r="174" spans="5:13" x14ac:dyDescent="0.25">
      <c r="E174" t="s">
        <v>379</v>
      </c>
      <c r="F174" t="s">
        <v>502</v>
      </c>
      <c r="G174" t="s">
        <v>112</v>
      </c>
      <c r="H174">
        <v>4486.1143822556796</v>
      </c>
      <c r="I174">
        <v>4230.2732775658396</v>
      </c>
      <c r="J174">
        <v>4305.5238193636596</v>
      </c>
      <c r="K174">
        <v>4596.9123604667902</v>
      </c>
      <c r="L174">
        <v>4603.6964101123103</v>
      </c>
      <c r="M174">
        <v>4059</v>
      </c>
    </row>
    <row r="175" spans="5:13" x14ac:dyDescent="0.25">
      <c r="E175" t="s">
        <v>380</v>
      </c>
      <c r="F175" t="s">
        <v>502</v>
      </c>
      <c r="G175" t="s">
        <v>113</v>
      </c>
      <c r="H175">
        <v>4442.5244511344499</v>
      </c>
      <c r="I175">
        <v>4173.9971997258399</v>
      </c>
      <c r="J175">
        <v>4289.8957045684401</v>
      </c>
      <c r="K175">
        <v>4531.0760311921003</v>
      </c>
      <c r="L175">
        <v>4541.7897801217596</v>
      </c>
      <c r="M175">
        <v>4039</v>
      </c>
    </row>
    <row r="176" spans="5:13" x14ac:dyDescent="0.25">
      <c r="E176" t="s">
        <v>381</v>
      </c>
      <c r="F176" t="s">
        <v>502</v>
      </c>
      <c r="G176" t="s">
        <v>114</v>
      </c>
      <c r="H176">
        <v>4377.5454343477704</v>
      </c>
      <c r="I176">
        <v>4075.0344677271701</v>
      </c>
      <c r="J176">
        <v>4365.0796723998201</v>
      </c>
      <c r="K176">
        <v>4452.9556342407895</v>
      </c>
      <c r="L176">
        <v>4462.8589737881002</v>
      </c>
      <c r="M176">
        <v>3997</v>
      </c>
    </row>
    <row r="177" spans="5:13" x14ac:dyDescent="0.25">
      <c r="E177" t="s">
        <v>382</v>
      </c>
      <c r="F177" t="s">
        <v>502</v>
      </c>
      <c r="G177" t="s">
        <v>115</v>
      </c>
      <c r="H177">
        <v>4235.5588407999403</v>
      </c>
      <c r="I177">
        <v>3937.21281912514</v>
      </c>
      <c r="J177">
        <v>4242.4300141935</v>
      </c>
      <c r="K177">
        <v>4277.2695859593896</v>
      </c>
      <c r="L177">
        <v>4297.2025023164097</v>
      </c>
      <c r="M177">
        <v>3908</v>
      </c>
    </row>
    <row r="178" spans="5:13" x14ac:dyDescent="0.25">
      <c r="E178" t="s">
        <v>383</v>
      </c>
      <c r="F178" t="s">
        <v>502</v>
      </c>
      <c r="G178" t="s">
        <v>116</v>
      </c>
      <c r="H178">
        <v>3945.8519880745698</v>
      </c>
      <c r="I178">
        <v>3649.0076493335901</v>
      </c>
      <c r="J178">
        <v>3952.4521256643702</v>
      </c>
      <c r="K178">
        <v>3972.2522579940501</v>
      </c>
      <c r="L178">
        <v>4002.9059762042598</v>
      </c>
      <c r="M178">
        <v>3699</v>
      </c>
    </row>
    <row r="179" spans="5:13" x14ac:dyDescent="0.25">
      <c r="E179" t="s">
        <v>384</v>
      </c>
      <c r="F179" t="s">
        <v>502</v>
      </c>
      <c r="G179" t="s">
        <v>117</v>
      </c>
      <c r="H179">
        <v>3846.6915168003602</v>
      </c>
      <c r="I179">
        <v>3511.57833669827</v>
      </c>
      <c r="J179">
        <v>3722.9550891406502</v>
      </c>
      <c r="K179">
        <v>3864.8063004693799</v>
      </c>
      <c r="L179">
        <v>3874.9426973049299</v>
      </c>
      <c r="M179">
        <v>3548</v>
      </c>
    </row>
    <row r="180" spans="5:13" x14ac:dyDescent="0.25">
      <c r="E180" t="s">
        <v>385</v>
      </c>
      <c r="F180" t="s">
        <v>502</v>
      </c>
      <c r="G180" t="s">
        <v>118</v>
      </c>
      <c r="H180">
        <v>3707.4454425275098</v>
      </c>
      <c r="I180">
        <v>3438.8402704206501</v>
      </c>
      <c r="J180">
        <v>3682.5950224932299</v>
      </c>
      <c r="K180">
        <v>3765.5494133893098</v>
      </c>
      <c r="L180">
        <v>3775.3207361626201</v>
      </c>
      <c r="M180">
        <v>3432</v>
      </c>
    </row>
    <row r="181" spans="5:13" x14ac:dyDescent="0.25">
      <c r="E181" t="s">
        <v>386</v>
      </c>
      <c r="F181" t="s">
        <v>502</v>
      </c>
      <c r="G181" t="s">
        <v>119</v>
      </c>
      <c r="H181">
        <v>3665.0355457976998</v>
      </c>
      <c r="I181">
        <v>3355.8078529874401</v>
      </c>
      <c r="J181">
        <v>3651.6758301309801</v>
      </c>
      <c r="K181">
        <v>3732.5582132285999</v>
      </c>
      <c r="L181">
        <v>3745.1589565273498</v>
      </c>
      <c r="M181">
        <v>3321</v>
      </c>
    </row>
    <row r="182" spans="5:13" x14ac:dyDescent="0.25">
      <c r="E182" t="s">
        <v>387</v>
      </c>
      <c r="F182" t="s">
        <v>502</v>
      </c>
      <c r="G182" t="s">
        <v>120</v>
      </c>
      <c r="H182">
        <v>3304.3476767176599</v>
      </c>
      <c r="I182">
        <v>3012.1781647261801</v>
      </c>
      <c r="J182">
        <v>3439.82486493126</v>
      </c>
      <c r="K182">
        <v>3314.5552697476801</v>
      </c>
      <c r="L182">
        <v>3328.9281107765501</v>
      </c>
      <c r="M182">
        <v>3041</v>
      </c>
    </row>
    <row r="183" spans="5:13" x14ac:dyDescent="0.25">
      <c r="E183" t="s">
        <v>388</v>
      </c>
      <c r="F183" t="s">
        <v>502</v>
      </c>
      <c r="G183" t="s">
        <v>121</v>
      </c>
      <c r="H183">
        <v>3263.0471875303601</v>
      </c>
      <c r="I183">
        <v>2964.5986853772802</v>
      </c>
      <c r="J183">
        <v>3288.5050593841502</v>
      </c>
      <c r="K183">
        <v>3311.0170915128701</v>
      </c>
      <c r="L183">
        <v>3324.96955485846</v>
      </c>
      <c r="M183">
        <v>2962</v>
      </c>
    </row>
    <row r="184" spans="5:13" x14ac:dyDescent="0.25">
      <c r="E184" t="s">
        <v>389</v>
      </c>
      <c r="F184" t="s">
        <v>502</v>
      </c>
      <c r="G184" t="s">
        <v>123</v>
      </c>
      <c r="H184">
        <v>3061.48656035568</v>
      </c>
      <c r="I184">
        <v>2870.11564461336</v>
      </c>
      <c r="J184">
        <v>3221.8589229036602</v>
      </c>
      <c r="K184">
        <v>3104.2118448234</v>
      </c>
      <c r="L184">
        <v>3116.9637498161001</v>
      </c>
      <c r="M184">
        <v>2902</v>
      </c>
    </row>
    <row r="185" spans="5:13" x14ac:dyDescent="0.25">
      <c r="E185" t="s">
        <v>390</v>
      </c>
      <c r="F185" t="s">
        <v>502</v>
      </c>
      <c r="G185" t="s">
        <v>124</v>
      </c>
      <c r="H185">
        <v>3042.04579416867</v>
      </c>
      <c r="I185">
        <v>2837.47421830965</v>
      </c>
      <c r="J185">
        <v>3178.15006141699</v>
      </c>
      <c r="K185">
        <v>3072.2585182083599</v>
      </c>
      <c r="L185">
        <v>3083.3813188244999</v>
      </c>
      <c r="M185">
        <v>2879</v>
      </c>
    </row>
    <row r="186" spans="5:13" x14ac:dyDescent="0.25">
      <c r="E186" t="s">
        <v>391</v>
      </c>
      <c r="F186" t="s">
        <v>502</v>
      </c>
      <c r="G186" t="s">
        <v>125</v>
      </c>
      <c r="H186">
        <v>3172.5173473692198</v>
      </c>
      <c r="I186">
        <v>2989.9711285769999</v>
      </c>
      <c r="J186">
        <v>3223.4140611769199</v>
      </c>
      <c r="K186">
        <v>3246.2132589542598</v>
      </c>
      <c r="L186">
        <v>3257.82108612201</v>
      </c>
      <c r="M186">
        <v>3107</v>
      </c>
    </row>
    <row r="187" spans="5:13" x14ac:dyDescent="0.25">
      <c r="E187" t="s">
        <v>392</v>
      </c>
      <c r="F187" t="s">
        <v>502</v>
      </c>
      <c r="G187" t="s">
        <v>126</v>
      </c>
      <c r="H187">
        <v>3262.4258009986502</v>
      </c>
      <c r="I187">
        <v>3041.4335100428002</v>
      </c>
      <c r="J187">
        <v>3228.7807714300002</v>
      </c>
      <c r="K187">
        <v>3334.5158571113898</v>
      </c>
      <c r="L187">
        <v>3345.7834909112999</v>
      </c>
      <c r="M187">
        <v>3073</v>
      </c>
    </row>
    <row r="188" spans="5:13" x14ac:dyDescent="0.25">
      <c r="E188" t="s">
        <v>393</v>
      </c>
      <c r="F188" t="s">
        <v>502</v>
      </c>
      <c r="G188" t="s">
        <v>127</v>
      </c>
      <c r="H188">
        <v>3144.2979372121699</v>
      </c>
      <c r="I188">
        <v>2966.4595338436502</v>
      </c>
      <c r="J188">
        <v>3228.1570190749699</v>
      </c>
      <c r="K188">
        <v>3207.1789114969702</v>
      </c>
      <c r="L188">
        <v>3211.1492772971901</v>
      </c>
      <c r="M188">
        <v>3031</v>
      </c>
    </row>
    <row r="189" spans="5:13" x14ac:dyDescent="0.25">
      <c r="E189" t="s">
        <v>394</v>
      </c>
      <c r="F189" t="s">
        <v>502</v>
      </c>
      <c r="G189" t="s">
        <v>128</v>
      </c>
      <c r="H189">
        <v>3085.9032333370201</v>
      </c>
      <c r="I189">
        <v>2898.7752332353798</v>
      </c>
      <c r="J189">
        <v>3179.4183011650598</v>
      </c>
      <c r="K189">
        <v>3141.0628398960898</v>
      </c>
      <c r="L189">
        <v>3145.7312659829799</v>
      </c>
      <c r="M189">
        <v>3000</v>
      </c>
    </row>
    <row r="190" spans="5:13" x14ac:dyDescent="0.25">
      <c r="E190" t="s">
        <v>395</v>
      </c>
      <c r="F190" t="s">
        <v>502</v>
      </c>
      <c r="G190" t="s">
        <v>129</v>
      </c>
      <c r="H190">
        <v>2978.4256477202698</v>
      </c>
      <c r="I190">
        <v>2787.34986576449</v>
      </c>
      <c r="J190">
        <v>3054.0478308473098</v>
      </c>
      <c r="K190">
        <v>3031.6497956312101</v>
      </c>
      <c r="L190">
        <v>3033.7535511288502</v>
      </c>
      <c r="M190">
        <v>2863</v>
      </c>
    </row>
    <row r="191" spans="5:13" x14ac:dyDescent="0.25">
      <c r="E191" t="s">
        <v>396</v>
      </c>
      <c r="F191" t="s">
        <v>502</v>
      </c>
      <c r="G191" t="s">
        <v>130</v>
      </c>
      <c r="H191">
        <v>3009.3313287839601</v>
      </c>
      <c r="I191">
        <v>2757.06769888089</v>
      </c>
      <c r="J191">
        <v>2924.0260020834698</v>
      </c>
      <c r="K191">
        <v>3038.88123465944</v>
      </c>
      <c r="L191">
        <v>3045.7805634874999</v>
      </c>
      <c r="M191">
        <v>2857</v>
      </c>
    </row>
    <row r="192" spans="5:13" x14ac:dyDescent="0.25">
      <c r="E192" t="s">
        <v>397</v>
      </c>
      <c r="F192" t="s">
        <v>502</v>
      </c>
      <c r="G192" t="s">
        <v>131</v>
      </c>
      <c r="H192">
        <v>3032.6732212787301</v>
      </c>
      <c r="I192">
        <v>2749.20185442721</v>
      </c>
      <c r="J192">
        <v>2967.5933963491402</v>
      </c>
      <c r="K192">
        <v>3067.2964287787299</v>
      </c>
      <c r="L192">
        <v>3076.5074105705498</v>
      </c>
      <c r="M192">
        <v>2914</v>
      </c>
    </row>
    <row r="193" spans="5:13" x14ac:dyDescent="0.25">
      <c r="E193" t="s">
        <v>398</v>
      </c>
      <c r="F193" t="s">
        <v>502</v>
      </c>
      <c r="G193" t="s">
        <v>132</v>
      </c>
      <c r="H193">
        <v>3048.4437080344401</v>
      </c>
      <c r="I193">
        <v>2736.0053460085601</v>
      </c>
      <c r="J193">
        <v>2988.4279193198799</v>
      </c>
      <c r="K193">
        <v>3070.50572478084</v>
      </c>
      <c r="L193">
        <v>3080.00867158148</v>
      </c>
      <c r="M193">
        <v>2907</v>
      </c>
    </row>
    <row r="194" spans="5:13" x14ac:dyDescent="0.25">
      <c r="E194" t="s">
        <v>399</v>
      </c>
      <c r="F194" t="s">
        <v>503</v>
      </c>
      <c r="G194" t="s">
        <v>26</v>
      </c>
      <c r="H194">
        <v>2907.2949927674999</v>
      </c>
      <c r="I194">
        <v>2695.0415045804898</v>
      </c>
      <c r="J194">
        <v>2979.2828275482202</v>
      </c>
      <c r="K194">
        <v>3014.0698616989298</v>
      </c>
      <c r="L194">
        <v>2974.1272458396202</v>
      </c>
      <c r="M194">
        <v>2816</v>
      </c>
    </row>
    <row r="195" spans="5:13" x14ac:dyDescent="0.25">
      <c r="E195" t="s">
        <v>400</v>
      </c>
      <c r="F195" t="s">
        <v>503</v>
      </c>
      <c r="G195" t="s">
        <v>27</v>
      </c>
      <c r="H195">
        <v>2898.4185895140299</v>
      </c>
      <c r="I195">
        <v>2690.0349243789901</v>
      </c>
      <c r="J195">
        <v>2956.3964568311799</v>
      </c>
      <c r="K195">
        <v>3017.4099006103602</v>
      </c>
      <c r="L195">
        <v>2979.1299407379702</v>
      </c>
      <c r="M195">
        <v>2824</v>
      </c>
    </row>
    <row r="196" spans="5:13" x14ac:dyDescent="0.25">
      <c r="E196" t="s">
        <v>401</v>
      </c>
      <c r="F196" t="s">
        <v>503</v>
      </c>
      <c r="G196" t="s">
        <v>28</v>
      </c>
      <c r="H196">
        <v>2897.69375931177</v>
      </c>
      <c r="I196">
        <v>2670.94824825768</v>
      </c>
      <c r="J196">
        <v>2960.7085181382499</v>
      </c>
      <c r="K196">
        <v>3013.7643211402001</v>
      </c>
      <c r="L196">
        <v>2969.1479757366801</v>
      </c>
      <c r="M196">
        <v>2821</v>
      </c>
    </row>
    <row r="197" spans="5:13" x14ac:dyDescent="0.25">
      <c r="E197" t="s">
        <v>402</v>
      </c>
      <c r="F197" t="s">
        <v>503</v>
      </c>
      <c r="G197" t="s">
        <v>29</v>
      </c>
      <c r="H197">
        <v>2928.0643656361899</v>
      </c>
      <c r="I197">
        <v>2680.53661961136</v>
      </c>
      <c r="J197">
        <v>2932.9292640356698</v>
      </c>
      <c r="K197">
        <v>3032.11899446592</v>
      </c>
      <c r="L197">
        <v>3008.30835625287</v>
      </c>
      <c r="M197">
        <v>2822</v>
      </c>
    </row>
    <row r="198" spans="5:13" x14ac:dyDescent="0.25">
      <c r="E198" t="s">
        <v>403</v>
      </c>
      <c r="F198" t="s">
        <v>503</v>
      </c>
      <c r="G198" t="s">
        <v>30</v>
      </c>
      <c r="H198">
        <v>2922.7453917552202</v>
      </c>
      <c r="I198">
        <v>2668.63721797886</v>
      </c>
      <c r="J198">
        <v>2922.99637587796</v>
      </c>
      <c r="K198">
        <v>3026.2168278817198</v>
      </c>
      <c r="L198">
        <v>2998.7495087668799</v>
      </c>
      <c r="M198">
        <v>2813</v>
      </c>
    </row>
    <row r="199" spans="5:13" x14ac:dyDescent="0.25">
      <c r="E199" t="s">
        <v>404</v>
      </c>
      <c r="F199" t="s">
        <v>503</v>
      </c>
      <c r="G199" t="s">
        <v>31</v>
      </c>
      <c r="H199">
        <v>2947.3696791362399</v>
      </c>
      <c r="I199">
        <v>2671.2104602832201</v>
      </c>
      <c r="J199">
        <v>2831.6184133337902</v>
      </c>
      <c r="K199">
        <v>3038.08645427997</v>
      </c>
      <c r="L199">
        <v>3059.5307204938899</v>
      </c>
      <c r="M199">
        <v>2807</v>
      </c>
    </row>
    <row r="200" spans="5:13" x14ac:dyDescent="0.25">
      <c r="E200" t="s">
        <v>405</v>
      </c>
      <c r="F200" t="s">
        <v>503</v>
      </c>
      <c r="G200" t="s">
        <v>32</v>
      </c>
      <c r="H200">
        <v>2957.03207425647</v>
      </c>
      <c r="I200">
        <v>2677.0533443007498</v>
      </c>
      <c r="J200">
        <v>2808.9069635407</v>
      </c>
      <c r="K200">
        <v>3052.1355917129599</v>
      </c>
      <c r="L200">
        <v>2988.3155894742399</v>
      </c>
      <c r="M200">
        <v>2862</v>
      </c>
    </row>
    <row r="201" spans="5:13" x14ac:dyDescent="0.25">
      <c r="E201" t="s">
        <v>406</v>
      </c>
      <c r="F201" t="s">
        <v>503</v>
      </c>
      <c r="G201" t="s">
        <v>33</v>
      </c>
      <c r="H201">
        <v>2955.2776196989998</v>
      </c>
      <c r="I201">
        <v>2666.9435905862601</v>
      </c>
      <c r="J201">
        <v>2825.4952144826202</v>
      </c>
      <c r="K201">
        <v>3049.2851607405601</v>
      </c>
      <c r="L201">
        <v>2980.21611495139</v>
      </c>
      <c r="M201">
        <v>2864</v>
      </c>
    </row>
    <row r="202" spans="5:13" x14ac:dyDescent="0.25">
      <c r="E202" t="s">
        <v>407</v>
      </c>
      <c r="F202" t="s">
        <v>503</v>
      </c>
      <c r="G202" t="s">
        <v>34</v>
      </c>
      <c r="H202">
        <v>2958.4921416325901</v>
      </c>
      <c r="I202">
        <v>2616.9504335546098</v>
      </c>
      <c r="J202">
        <v>2833.88473445204</v>
      </c>
      <c r="K202">
        <v>3024.2220011330901</v>
      </c>
      <c r="L202">
        <v>2973.7185701385602</v>
      </c>
      <c r="M202">
        <v>2846</v>
      </c>
    </row>
    <row r="203" spans="5:13" x14ac:dyDescent="0.25">
      <c r="E203" t="s">
        <v>408</v>
      </c>
      <c r="F203" t="s">
        <v>503</v>
      </c>
      <c r="G203" t="s">
        <v>35</v>
      </c>
      <c r="H203">
        <v>2927.6599245992102</v>
      </c>
      <c r="I203">
        <v>2606.2106624729599</v>
      </c>
      <c r="J203">
        <v>2873.2746845073998</v>
      </c>
      <c r="K203">
        <v>3008.51928653402</v>
      </c>
      <c r="L203">
        <v>2942.4692254143401</v>
      </c>
      <c r="M203">
        <v>2828</v>
      </c>
    </row>
    <row r="204" spans="5:13" x14ac:dyDescent="0.25">
      <c r="E204" t="s">
        <v>409</v>
      </c>
      <c r="F204" t="s">
        <v>503</v>
      </c>
      <c r="G204" t="s">
        <v>36</v>
      </c>
      <c r="H204">
        <v>2919.6785401960301</v>
      </c>
      <c r="I204">
        <v>2611.3084143538399</v>
      </c>
      <c r="J204">
        <v>2904.2372306279999</v>
      </c>
      <c r="K204">
        <v>2945.0716962735301</v>
      </c>
      <c r="L204">
        <v>2936.85333655263</v>
      </c>
      <c r="M204">
        <v>2810</v>
      </c>
    </row>
    <row r="205" spans="5:13" x14ac:dyDescent="0.25">
      <c r="E205" t="s">
        <v>410</v>
      </c>
      <c r="F205" t="s">
        <v>503</v>
      </c>
      <c r="G205" t="s">
        <v>37</v>
      </c>
      <c r="H205">
        <v>2910.6907847687098</v>
      </c>
      <c r="I205">
        <v>2625.0578153482802</v>
      </c>
      <c r="J205">
        <v>2919.98710867113</v>
      </c>
      <c r="K205">
        <v>2950.10401716449</v>
      </c>
      <c r="L205">
        <v>2942.3428063026399</v>
      </c>
      <c r="M205">
        <v>2803.6666666666665</v>
      </c>
    </row>
    <row r="206" spans="5:13" x14ac:dyDescent="0.25">
      <c r="E206" t="s">
        <v>411</v>
      </c>
      <c r="F206" t="s">
        <v>503</v>
      </c>
      <c r="G206" t="s">
        <v>38</v>
      </c>
      <c r="H206">
        <v>2926.50328861756</v>
      </c>
      <c r="I206">
        <v>2612.5668537516699</v>
      </c>
      <c r="J206">
        <v>2916.4058814517698</v>
      </c>
      <c r="K206">
        <v>2929.3876435121601</v>
      </c>
      <c r="L206">
        <v>2931.6734193013399</v>
      </c>
      <c r="M206">
        <v>2764.0589502361704</v>
      </c>
    </row>
    <row r="207" spans="5:13" x14ac:dyDescent="0.25">
      <c r="E207" t="s">
        <v>412</v>
      </c>
      <c r="F207" t="s">
        <v>503</v>
      </c>
      <c r="G207" t="s">
        <v>39</v>
      </c>
      <c r="H207">
        <v>2935.3500351839398</v>
      </c>
      <c r="I207">
        <v>2619.4656781481799</v>
      </c>
      <c r="J207">
        <v>2862.2447701944502</v>
      </c>
      <c r="K207">
        <v>2946.6711916858799</v>
      </c>
      <c r="L207">
        <v>2940.5606406106599</v>
      </c>
      <c r="M207">
        <v>2791</v>
      </c>
    </row>
    <row r="208" spans="5:13" x14ac:dyDescent="0.25">
      <c r="E208" t="s">
        <v>413</v>
      </c>
      <c r="F208" t="s">
        <v>503</v>
      </c>
      <c r="G208" t="s">
        <v>40</v>
      </c>
      <c r="H208">
        <v>2983.8893657144499</v>
      </c>
      <c r="I208">
        <v>2645.16500183265</v>
      </c>
      <c r="J208">
        <v>2823.4992985089898</v>
      </c>
      <c r="K208">
        <v>2982.20230018556</v>
      </c>
      <c r="L208">
        <v>2976.4708252129499</v>
      </c>
      <c r="M208">
        <v>2855</v>
      </c>
    </row>
    <row r="209" spans="5:13" x14ac:dyDescent="0.25">
      <c r="E209" t="s">
        <v>414</v>
      </c>
      <c r="F209" t="s">
        <v>503</v>
      </c>
      <c r="G209" t="s">
        <v>41</v>
      </c>
      <c r="H209">
        <v>2992.78940389423</v>
      </c>
      <c r="I209">
        <v>2662.1829697222101</v>
      </c>
      <c r="J209">
        <v>2904.0070129238902</v>
      </c>
      <c r="K209">
        <v>2997.9866078803202</v>
      </c>
      <c r="L209">
        <v>3007.7118595096899</v>
      </c>
      <c r="M209">
        <v>2868</v>
      </c>
    </row>
    <row r="210" spans="5:13" x14ac:dyDescent="0.25">
      <c r="E210" t="s">
        <v>415</v>
      </c>
      <c r="F210" t="s">
        <v>503</v>
      </c>
      <c r="G210" t="s">
        <v>43</v>
      </c>
      <c r="H210">
        <v>2974.1360373600601</v>
      </c>
      <c r="I210">
        <v>2681.6129649733798</v>
      </c>
      <c r="J210">
        <v>3053.6853320621899</v>
      </c>
      <c r="K210">
        <v>3018.6336317939699</v>
      </c>
      <c r="L210">
        <v>3034.37274915444</v>
      </c>
      <c r="M210">
        <v>2887</v>
      </c>
    </row>
    <row r="211" spans="5:13" x14ac:dyDescent="0.25">
      <c r="E211" t="s">
        <v>416</v>
      </c>
      <c r="F211" t="s">
        <v>503</v>
      </c>
      <c r="G211" t="s">
        <v>44</v>
      </c>
      <c r="H211">
        <v>3024.4086502919799</v>
      </c>
      <c r="I211">
        <v>2721.78094259003</v>
      </c>
      <c r="J211">
        <v>2986.4943770887398</v>
      </c>
      <c r="K211">
        <v>3064.01085824452</v>
      </c>
      <c r="L211">
        <v>3077.6548258461498</v>
      </c>
      <c r="M211">
        <v>2943</v>
      </c>
    </row>
    <row r="212" spans="5:13" x14ac:dyDescent="0.25">
      <c r="E212" t="s">
        <v>417</v>
      </c>
      <c r="F212" t="s">
        <v>503</v>
      </c>
      <c r="G212" t="s">
        <v>45</v>
      </c>
      <c r="H212">
        <v>3083.0314541047001</v>
      </c>
      <c r="I212">
        <v>2783.3348232834001</v>
      </c>
      <c r="J212">
        <v>3107.7719243346201</v>
      </c>
      <c r="K212">
        <v>3128.7502471186299</v>
      </c>
      <c r="L212">
        <v>3131.75521770571</v>
      </c>
      <c r="M212">
        <v>3010</v>
      </c>
    </row>
    <row r="213" spans="5:13" x14ac:dyDescent="0.25">
      <c r="E213" t="s">
        <v>418</v>
      </c>
      <c r="F213" t="s">
        <v>503</v>
      </c>
      <c r="G213" t="s">
        <v>46</v>
      </c>
      <c r="H213">
        <v>3158.7467680638601</v>
      </c>
      <c r="I213">
        <v>2857.61226152882</v>
      </c>
      <c r="J213">
        <v>3229.8417592220999</v>
      </c>
      <c r="K213">
        <v>3200.6317750077901</v>
      </c>
      <c r="L213">
        <v>3206.0210887837402</v>
      </c>
      <c r="M213">
        <v>3041</v>
      </c>
    </row>
    <row r="214" spans="5:13" x14ac:dyDescent="0.25">
      <c r="E214" t="s">
        <v>419</v>
      </c>
      <c r="F214" t="s">
        <v>503</v>
      </c>
      <c r="G214" t="s">
        <v>47</v>
      </c>
      <c r="H214">
        <v>3267.9645507246901</v>
      </c>
      <c r="I214">
        <v>2983.4568816931301</v>
      </c>
      <c r="J214">
        <v>3500.97434918509</v>
      </c>
      <c r="K214">
        <v>3361.8427548168702</v>
      </c>
      <c r="L214">
        <v>3380.6578898981302</v>
      </c>
      <c r="M214">
        <v>3166</v>
      </c>
    </row>
    <row r="215" spans="5:13" x14ac:dyDescent="0.25">
      <c r="E215" t="s">
        <v>420</v>
      </c>
      <c r="F215" t="s">
        <v>503</v>
      </c>
      <c r="G215" t="s">
        <v>49</v>
      </c>
      <c r="H215">
        <v>3369.7633486273398</v>
      </c>
      <c r="I215">
        <v>3074.8217668647799</v>
      </c>
      <c r="J215">
        <v>3371.8701541994401</v>
      </c>
      <c r="K215">
        <v>3464.43165733755</v>
      </c>
      <c r="L215">
        <v>3427.2614933456898</v>
      </c>
      <c r="M215">
        <v>3290</v>
      </c>
    </row>
    <row r="216" spans="5:13" x14ac:dyDescent="0.25">
      <c r="E216" t="s">
        <v>421</v>
      </c>
      <c r="F216" t="s">
        <v>503</v>
      </c>
      <c r="G216" t="s">
        <v>50</v>
      </c>
      <c r="H216">
        <v>3516.8786658456102</v>
      </c>
      <c r="I216">
        <v>3194.7734769159401</v>
      </c>
      <c r="J216">
        <v>3473.9298994763199</v>
      </c>
      <c r="K216">
        <v>3600.3891724826499</v>
      </c>
      <c r="L216">
        <v>3557.21587685961</v>
      </c>
      <c r="M216">
        <v>3415</v>
      </c>
    </row>
    <row r="217" spans="5:13" x14ac:dyDescent="0.25">
      <c r="E217" t="s">
        <v>422</v>
      </c>
      <c r="F217" t="s">
        <v>503</v>
      </c>
      <c r="G217" t="s">
        <v>51</v>
      </c>
      <c r="H217">
        <v>3662.9419523823099</v>
      </c>
      <c r="I217">
        <v>3351.4630982481499</v>
      </c>
      <c r="J217">
        <v>3702.9622624600602</v>
      </c>
      <c r="K217">
        <v>3690.6355034407902</v>
      </c>
      <c r="L217">
        <v>3753.26511964971</v>
      </c>
      <c r="M217">
        <v>3532</v>
      </c>
    </row>
    <row r="218" spans="5:13" x14ac:dyDescent="0.25">
      <c r="E218" t="s">
        <v>423</v>
      </c>
      <c r="F218" t="s">
        <v>503</v>
      </c>
      <c r="G218" t="s">
        <v>53</v>
      </c>
      <c r="H218">
        <v>4346.8660510053796</v>
      </c>
      <c r="I218">
        <v>3798.9027230965398</v>
      </c>
      <c r="J218">
        <v>4015.3691301242402</v>
      </c>
      <c r="K218">
        <v>4283.8960280985402</v>
      </c>
      <c r="L218">
        <v>4384.8596993855899</v>
      </c>
      <c r="M218">
        <v>4054</v>
      </c>
    </row>
    <row r="219" spans="5:13" x14ac:dyDescent="0.25">
      <c r="E219" t="s">
        <v>424</v>
      </c>
      <c r="F219" t="s">
        <v>503</v>
      </c>
      <c r="G219" t="s">
        <v>54</v>
      </c>
      <c r="H219">
        <v>4545.7353705607702</v>
      </c>
      <c r="I219">
        <v>3939.4952437484098</v>
      </c>
      <c r="J219">
        <v>4029.5716530608602</v>
      </c>
      <c r="K219">
        <v>4516.3602790877603</v>
      </c>
      <c r="L219">
        <v>4538.7302279696996</v>
      </c>
      <c r="M219">
        <v>4179</v>
      </c>
    </row>
    <row r="220" spans="5:13" x14ac:dyDescent="0.25">
      <c r="E220" t="s">
        <v>425</v>
      </c>
      <c r="F220" t="s">
        <v>503</v>
      </c>
      <c r="G220" t="s">
        <v>55</v>
      </c>
      <c r="H220">
        <v>4569.5211103752999</v>
      </c>
      <c r="I220">
        <v>4001.7819482991599</v>
      </c>
      <c r="J220">
        <v>4283.4082343195696</v>
      </c>
      <c r="K220">
        <v>4553.3360360653496</v>
      </c>
      <c r="L220">
        <v>4488.8208316949303</v>
      </c>
      <c r="M220">
        <v>4181</v>
      </c>
    </row>
    <row r="221" spans="5:13" x14ac:dyDescent="0.25">
      <c r="E221" t="s">
        <v>426</v>
      </c>
      <c r="F221" t="s">
        <v>503</v>
      </c>
      <c r="G221" t="s">
        <v>56</v>
      </c>
      <c r="H221">
        <v>4581.7147828076904</v>
      </c>
      <c r="I221">
        <v>4070.7213890968401</v>
      </c>
      <c r="J221">
        <v>4707.21153303963</v>
      </c>
      <c r="K221">
        <v>4594.7423496380297</v>
      </c>
      <c r="L221">
        <v>4541.8767099597499</v>
      </c>
      <c r="M221">
        <v>4156</v>
      </c>
    </row>
    <row r="222" spans="5:13" x14ac:dyDescent="0.25">
      <c r="E222" t="s">
        <v>427</v>
      </c>
      <c r="F222" t="s">
        <v>503</v>
      </c>
      <c r="G222" t="s">
        <v>57</v>
      </c>
      <c r="H222">
        <v>4724.7145636795804</v>
      </c>
      <c r="I222">
        <v>4249.0497094292896</v>
      </c>
      <c r="J222">
        <v>4895.5852967910096</v>
      </c>
      <c r="K222">
        <v>4694.0268411738998</v>
      </c>
      <c r="L222">
        <v>4696.52729495517</v>
      </c>
      <c r="M222">
        <v>4128</v>
      </c>
    </row>
    <row r="223" spans="5:13" x14ac:dyDescent="0.25">
      <c r="E223" t="s">
        <v>428</v>
      </c>
      <c r="F223" t="s">
        <v>503</v>
      </c>
      <c r="G223" t="s">
        <v>58</v>
      </c>
      <c r="H223">
        <v>4755.9347998937601</v>
      </c>
      <c r="I223">
        <v>4340.0337065985505</v>
      </c>
      <c r="J223">
        <v>4830.3515247021796</v>
      </c>
      <c r="K223">
        <v>4776.8113471110701</v>
      </c>
      <c r="L223">
        <v>4802.9216539710196</v>
      </c>
      <c r="M223">
        <v>4224</v>
      </c>
    </row>
    <row r="224" spans="5:13" x14ac:dyDescent="0.25">
      <c r="E224" t="s">
        <v>429</v>
      </c>
      <c r="F224" t="s">
        <v>503</v>
      </c>
      <c r="G224" t="s">
        <v>59</v>
      </c>
      <c r="H224">
        <v>4761.4298403944304</v>
      </c>
      <c r="I224">
        <v>4343.23492426946</v>
      </c>
      <c r="J224">
        <v>4732.7998954964096</v>
      </c>
      <c r="K224">
        <v>4808.8282285141104</v>
      </c>
      <c r="L224">
        <v>4804.3270408317503</v>
      </c>
      <c r="M224">
        <v>4234</v>
      </c>
    </row>
    <row r="225" spans="5:13" x14ac:dyDescent="0.25">
      <c r="E225" t="s">
        <v>430</v>
      </c>
      <c r="F225" t="s">
        <v>503</v>
      </c>
      <c r="G225" t="s">
        <v>60</v>
      </c>
      <c r="H225">
        <v>4770.86395230991</v>
      </c>
      <c r="I225">
        <v>4340.4125260870196</v>
      </c>
      <c r="J225">
        <v>4793.9998820827695</v>
      </c>
      <c r="K225">
        <v>4805.9830641278504</v>
      </c>
      <c r="L225">
        <v>4821.7403543907403</v>
      </c>
      <c r="M225">
        <v>4254</v>
      </c>
    </row>
    <row r="226" spans="5:13" x14ac:dyDescent="0.25">
      <c r="E226" t="s">
        <v>431</v>
      </c>
      <c r="F226" t="s">
        <v>503</v>
      </c>
      <c r="G226" t="s">
        <v>62</v>
      </c>
      <c r="H226">
        <v>4732.8093001183597</v>
      </c>
      <c r="I226">
        <v>4372.2261255229196</v>
      </c>
      <c r="J226">
        <v>4856.7397823807496</v>
      </c>
      <c r="K226">
        <v>4706.8336164080101</v>
      </c>
      <c r="L226">
        <v>4777.1299712245</v>
      </c>
      <c r="M226">
        <v>4097</v>
      </c>
    </row>
    <row r="227" spans="5:13" x14ac:dyDescent="0.25">
      <c r="E227" t="s">
        <v>432</v>
      </c>
      <c r="F227" t="s">
        <v>503</v>
      </c>
      <c r="G227" t="s">
        <v>63</v>
      </c>
      <c r="H227">
        <v>4777.4200967672195</v>
      </c>
      <c r="I227">
        <v>4356.58506401879</v>
      </c>
      <c r="J227">
        <v>4664.7026734210904</v>
      </c>
      <c r="K227">
        <v>4784.9681588846797</v>
      </c>
      <c r="L227">
        <v>4794.9033941037396</v>
      </c>
      <c r="M227">
        <v>4205</v>
      </c>
    </row>
    <row r="228" spans="5:13" x14ac:dyDescent="0.25">
      <c r="E228" t="s">
        <v>433</v>
      </c>
      <c r="F228" t="s">
        <v>503</v>
      </c>
      <c r="G228" t="s">
        <v>64</v>
      </c>
      <c r="H228">
        <v>4607.3593371240604</v>
      </c>
      <c r="I228">
        <v>4280.1400711294</v>
      </c>
      <c r="J228">
        <v>4682.2320195522798</v>
      </c>
      <c r="K228">
        <v>4666.85279989427</v>
      </c>
      <c r="L228">
        <v>4680.7497727138498</v>
      </c>
      <c r="M228">
        <v>4233</v>
      </c>
    </row>
    <row r="229" spans="5:13" x14ac:dyDescent="0.25">
      <c r="E229" t="s">
        <v>434</v>
      </c>
      <c r="F229" t="s">
        <v>503</v>
      </c>
      <c r="G229" t="s">
        <v>65</v>
      </c>
      <c r="H229">
        <v>4567.78152181111</v>
      </c>
      <c r="I229">
        <v>4219.4591978674898</v>
      </c>
      <c r="J229">
        <v>4630.52546577467</v>
      </c>
      <c r="K229">
        <v>4620.8065580415596</v>
      </c>
      <c r="L229">
        <v>4624.3643456703203</v>
      </c>
      <c r="M229">
        <v>4239</v>
      </c>
    </row>
    <row r="230" spans="5:13" x14ac:dyDescent="0.25">
      <c r="E230" t="s">
        <v>435</v>
      </c>
      <c r="F230" t="s">
        <v>503</v>
      </c>
      <c r="G230" t="s">
        <v>67</v>
      </c>
      <c r="H230">
        <v>4565.9120428972201</v>
      </c>
      <c r="I230">
        <v>4236.4402375501304</v>
      </c>
      <c r="J230">
        <v>4623.2193743356002</v>
      </c>
      <c r="K230">
        <v>4645.1118796800101</v>
      </c>
      <c r="L230">
        <v>4661.5950019571101</v>
      </c>
      <c r="M230">
        <v>4379</v>
      </c>
    </row>
    <row r="231" spans="5:13" x14ac:dyDescent="0.25">
      <c r="E231" t="s">
        <v>436</v>
      </c>
      <c r="F231" t="s">
        <v>503</v>
      </c>
      <c r="G231" t="s">
        <v>68</v>
      </c>
      <c r="H231">
        <v>4534.0145905190802</v>
      </c>
      <c r="I231">
        <v>4209.2749948649098</v>
      </c>
      <c r="J231">
        <v>4507.2607505612796</v>
      </c>
      <c r="K231">
        <v>4617.8804556400701</v>
      </c>
      <c r="L231">
        <v>4633.9687734007703</v>
      </c>
      <c r="M231">
        <v>4370</v>
      </c>
    </row>
    <row r="232" spans="5:13" x14ac:dyDescent="0.25">
      <c r="E232" t="s">
        <v>437</v>
      </c>
      <c r="F232" t="s">
        <v>503</v>
      </c>
      <c r="G232" t="s">
        <v>69</v>
      </c>
      <c r="H232">
        <v>4482.81334672502</v>
      </c>
      <c r="I232">
        <v>4152.35782546255</v>
      </c>
      <c r="J232">
        <v>4443.3916204529596</v>
      </c>
      <c r="K232">
        <v>4550.1318168070202</v>
      </c>
      <c r="L232">
        <v>4561.79903253879</v>
      </c>
      <c r="M232">
        <v>4224</v>
      </c>
    </row>
    <row r="233" spans="5:13" x14ac:dyDescent="0.25">
      <c r="E233" t="s">
        <v>438</v>
      </c>
      <c r="F233" t="s">
        <v>503</v>
      </c>
      <c r="G233" t="s">
        <v>70</v>
      </c>
      <c r="H233">
        <v>4469.9468060311201</v>
      </c>
      <c r="I233">
        <v>4119.7980919635302</v>
      </c>
      <c r="J233">
        <v>4475.90133835714</v>
      </c>
      <c r="K233">
        <v>4549.9434851476099</v>
      </c>
      <c r="L233">
        <v>4565.6998730270998</v>
      </c>
      <c r="M233">
        <v>4147</v>
      </c>
    </row>
    <row r="234" spans="5:13" x14ac:dyDescent="0.25">
      <c r="E234" t="s">
        <v>439</v>
      </c>
      <c r="F234" t="s">
        <v>503</v>
      </c>
      <c r="G234" t="s">
        <v>72</v>
      </c>
      <c r="H234">
        <v>4248.2884780423101</v>
      </c>
      <c r="I234">
        <v>3918.81170311694</v>
      </c>
      <c r="J234">
        <v>4353.9539375365002</v>
      </c>
      <c r="K234">
        <v>4387.9829408637497</v>
      </c>
      <c r="L234">
        <v>4398.2772248557803</v>
      </c>
      <c r="M234">
        <v>3951</v>
      </c>
    </row>
    <row r="235" spans="5:13" x14ac:dyDescent="0.25">
      <c r="E235" t="s">
        <v>440</v>
      </c>
      <c r="F235" t="s">
        <v>503</v>
      </c>
      <c r="G235" t="s">
        <v>73</v>
      </c>
      <c r="H235">
        <v>4175.0294911348101</v>
      </c>
      <c r="I235">
        <v>3882.7574851269301</v>
      </c>
      <c r="J235">
        <v>4213.2902273897298</v>
      </c>
      <c r="K235">
        <v>4326.5178432192297</v>
      </c>
      <c r="L235">
        <v>4342.8965419500601</v>
      </c>
      <c r="M235">
        <v>3911</v>
      </c>
    </row>
    <row r="236" spans="5:13" x14ac:dyDescent="0.25">
      <c r="E236" t="s">
        <v>441</v>
      </c>
      <c r="F236" t="s">
        <v>503</v>
      </c>
      <c r="G236" t="s">
        <v>74</v>
      </c>
      <c r="H236">
        <v>4162.2543451973697</v>
      </c>
      <c r="I236">
        <v>3839.42979908393</v>
      </c>
      <c r="J236">
        <v>4228.8806608894802</v>
      </c>
      <c r="K236">
        <v>4292.3268411652698</v>
      </c>
      <c r="L236">
        <v>4309.6329536378298</v>
      </c>
      <c r="M236">
        <v>3882</v>
      </c>
    </row>
    <row r="237" spans="5:13" x14ac:dyDescent="0.25">
      <c r="E237" t="s">
        <v>442</v>
      </c>
      <c r="F237" t="s">
        <v>503</v>
      </c>
      <c r="G237" t="s">
        <v>75</v>
      </c>
      <c r="H237">
        <v>4066.6295496182602</v>
      </c>
      <c r="I237">
        <v>3801.83338315739</v>
      </c>
      <c r="J237">
        <v>4206.0305073847103</v>
      </c>
      <c r="K237">
        <v>4212.4250765450097</v>
      </c>
      <c r="L237">
        <v>4227.99750541098</v>
      </c>
      <c r="M237">
        <v>3953</v>
      </c>
    </row>
    <row r="238" spans="5:13" x14ac:dyDescent="0.25">
      <c r="E238" t="s">
        <v>443</v>
      </c>
      <c r="F238" t="s">
        <v>503</v>
      </c>
      <c r="G238" t="s">
        <v>76</v>
      </c>
      <c r="H238">
        <v>3957.2812594206698</v>
      </c>
      <c r="I238">
        <v>3709.2357908173399</v>
      </c>
      <c r="J238">
        <v>4103.6434399050004</v>
      </c>
      <c r="K238">
        <v>4154.9138026507499</v>
      </c>
      <c r="L238">
        <v>4173.2402057274903</v>
      </c>
      <c r="M238">
        <v>4066</v>
      </c>
    </row>
    <row r="239" spans="5:13" x14ac:dyDescent="0.25">
      <c r="E239" t="s">
        <v>444</v>
      </c>
      <c r="F239" t="s">
        <v>503</v>
      </c>
      <c r="G239" t="s">
        <v>77</v>
      </c>
      <c r="H239">
        <v>3973.7911694658901</v>
      </c>
      <c r="I239">
        <v>3699.7554121816802</v>
      </c>
      <c r="J239">
        <v>4056.7326733866598</v>
      </c>
      <c r="K239">
        <v>4130.0835555251697</v>
      </c>
      <c r="L239">
        <v>4147.3731889622604</v>
      </c>
      <c r="M239">
        <v>4011</v>
      </c>
    </row>
    <row r="240" spans="5:13" x14ac:dyDescent="0.25">
      <c r="E240" t="s">
        <v>445</v>
      </c>
      <c r="F240" t="s">
        <v>503</v>
      </c>
      <c r="G240" t="s">
        <v>78</v>
      </c>
      <c r="H240">
        <v>3940.7012176713301</v>
      </c>
      <c r="I240">
        <v>3670.2187390679601</v>
      </c>
      <c r="J240">
        <v>3990.5449729532002</v>
      </c>
      <c r="K240">
        <v>4096.7937134296399</v>
      </c>
      <c r="L240">
        <v>4113.9612461678498</v>
      </c>
      <c r="M240">
        <v>3939</v>
      </c>
    </row>
    <row r="241" spans="5:13" x14ac:dyDescent="0.25">
      <c r="E241" t="s">
        <v>446</v>
      </c>
      <c r="F241" t="s">
        <v>503</v>
      </c>
      <c r="G241" t="s">
        <v>79</v>
      </c>
      <c r="H241">
        <v>3905.7542891817702</v>
      </c>
      <c r="I241">
        <v>3649.0445542355201</v>
      </c>
      <c r="J241">
        <v>4040.9704943926999</v>
      </c>
      <c r="K241">
        <v>4066.5693747924502</v>
      </c>
      <c r="L241">
        <v>4083.5750360045599</v>
      </c>
      <c r="M241">
        <v>3884</v>
      </c>
    </row>
    <row r="242" spans="5:13" x14ac:dyDescent="0.25">
      <c r="E242" t="s">
        <v>447</v>
      </c>
      <c r="F242" t="s">
        <v>503</v>
      </c>
      <c r="G242" t="s">
        <v>81</v>
      </c>
      <c r="H242">
        <v>3798.0002810870001</v>
      </c>
      <c r="I242">
        <v>3569.9358013752699</v>
      </c>
      <c r="J242">
        <v>3986.2623266076598</v>
      </c>
      <c r="K242">
        <v>3925.1992189561302</v>
      </c>
      <c r="L242">
        <v>3941.0900466253902</v>
      </c>
      <c r="M242">
        <v>3637</v>
      </c>
    </row>
    <row r="243" spans="5:13" x14ac:dyDescent="0.25">
      <c r="E243" t="s">
        <v>448</v>
      </c>
      <c r="F243" t="s">
        <v>503</v>
      </c>
      <c r="G243" t="s">
        <v>82</v>
      </c>
      <c r="H243">
        <v>3805.6117386955202</v>
      </c>
      <c r="I243">
        <v>3553.3260366095201</v>
      </c>
      <c r="J243">
        <v>3908.6045711327702</v>
      </c>
      <c r="K243">
        <v>3912.4645509776901</v>
      </c>
      <c r="L243">
        <v>3929.05952689584</v>
      </c>
      <c r="M243">
        <v>3626</v>
      </c>
    </row>
    <row r="244" spans="5:13" x14ac:dyDescent="0.25">
      <c r="E244" t="s">
        <v>449</v>
      </c>
      <c r="F244" t="s">
        <v>503</v>
      </c>
      <c r="G244" t="s">
        <v>83</v>
      </c>
      <c r="H244">
        <v>3752.3666930286499</v>
      </c>
      <c r="I244">
        <v>3531.5887842908401</v>
      </c>
      <c r="J244">
        <v>3774.9386770782698</v>
      </c>
      <c r="K244">
        <v>3905.3064836230901</v>
      </c>
      <c r="L244">
        <v>3922.1280824764199</v>
      </c>
      <c r="M244">
        <v>3670</v>
      </c>
    </row>
    <row r="245" spans="5:13" x14ac:dyDescent="0.25">
      <c r="E245" t="s">
        <v>450</v>
      </c>
      <c r="F245" t="s">
        <v>503</v>
      </c>
      <c r="G245" t="s">
        <v>84</v>
      </c>
      <c r="H245">
        <v>3761.4706812714999</v>
      </c>
      <c r="I245">
        <v>3528.7671424557302</v>
      </c>
      <c r="J245">
        <v>3724.6152061047701</v>
      </c>
      <c r="K245">
        <v>3904.5195034692201</v>
      </c>
      <c r="L245">
        <v>3930.3256257593498</v>
      </c>
      <c r="M245">
        <v>3752</v>
      </c>
    </row>
    <row r="246" spans="5:13" x14ac:dyDescent="0.25">
      <c r="E246" t="s">
        <v>451</v>
      </c>
      <c r="F246" t="s">
        <v>503</v>
      </c>
      <c r="G246" t="s">
        <v>85</v>
      </c>
      <c r="H246">
        <v>3870.7053820783299</v>
      </c>
      <c r="I246">
        <v>3497.5459817034398</v>
      </c>
      <c r="J246">
        <v>3672.5068887002299</v>
      </c>
      <c r="K246">
        <v>3948.18345843621</v>
      </c>
      <c r="L246">
        <v>3972.9164337750599</v>
      </c>
      <c r="M246">
        <v>3838</v>
      </c>
    </row>
    <row r="247" spans="5:13" x14ac:dyDescent="0.25">
      <c r="E247" t="s">
        <v>452</v>
      </c>
      <c r="F247" t="s">
        <v>503</v>
      </c>
      <c r="G247" t="s">
        <v>86</v>
      </c>
      <c r="H247">
        <v>3892.4036215689398</v>
      </c>
      <c r="I247">
        <v>3505.9899122811898</v>
      </c>
      <c r="J247">
        <v>3742.0094346692799</v>
      </c>
      <c r="K247">
        <v>3943.4881946386499</v>
      </c>
      <c r="L247">
        <v>3981.13038517413</v>
      </c>
      <c r="M247">
        <v>3888</v>
      </c>
    </row>
    <row r="248" spans="5:13" x14ac:dyDescent="0.25">
      <c r="E248" t="s">
        <v>453</v>
      </c>
      <c r="F248" t="s">
        <v>503</v>
      </c>
      <c r="G248" t="s">
        <v>87</v>
      </c>
      <c r="H248">
        <v>3854.5033887287</v>
      </c>
      <c r="I248">
        <v>3524.3734972611901</v>
      </c>
      <c r="J248">
        <v>3779.17490762849</v>
      </c>
      <c r="K248">
        <v>3980.0290537614201</v>
      </c>
      <c r="L248">
        <v>4017.6847074070201</v>
      </c>
      <c r="M248">
        <v>3869</v>
      </c>
    </row>
    <row r="249" spans="5:13" x14ac:dyDescent="0.25">
      <c r="E249" t="s">
        <v>454</v>
      </c>
      <c r="F249" t="s">
        <v>503</v>
      </c>
      <c r="G249" t="s">
        <v>88</v>
      </c>
      <c r="H249">
        <v>3871.2830358575602</v>
      </c>
      <c r="I249">
        <v>3565.35258121577</v>
      </c>
      <c r="J249">
        <v>3889.18684268385</v>
      </c>
      <c r="K249">
        <v>3975.7306753840899</v>
      </c>
      <c r="L249">
        <v>4012.9991850991501</v>
      </c>
      <c r="M249">
        <v>3853</v>
      </c>
    </row>
    <row r="250" spans="5:13" x14ac:dyDescent="0.25">
      <c r="E250" t="s">
        <v>455</v>
      </c>
      <c r="F250" t="s">
        <v>503</v>
      </c>
      <c r="G250" t="s">
        <v>90</v>
      </c>
      <c r="H250">
        <v>4091.3614928540601</v>
      </c>
      <c r="I250">
        <v>3723.3876297287402</v>
      </c>
      <c r="J250">
        <v>4050.9756397053702</v>
      </c>
      <c r="K250">
        <v>4187.4006161720899</v>
      </c>
      <c r="L250">
        <v>4203.3262318988</v>
      </c>
      <c r="M250">
        <v>3771</v>
      </c>
    </row>
    <row r="251" spans="5:13" x14ac:dyDescent="0.25">
      <c r="E251" t="s">
        <v>456</v>
      </c>
      <c r="F251" t="s">
        <v>503</v>
      </c>
      <c r="G251" t="s">
        <v>91</v>
      </c>
      <c r="H251">
        <v>4063.0278835236099</v>
      </c>
      <c r="I251">
        <v>3680.5356392588501</v>
      </c>
      <c r="J251">
        <v>4015.5640498563798</v>
      </c>
      <c r="K251">
        <v>4157.2601366313902</v>
      </c>
      <c r="L251">
        <v>4168.0651807386403</v>
      </c>
      <c r="M251">
        <v>3725</v>
      </c>
    </row>
    <row r="252" spans="5:13" x14ac:dyDescent="0.25">
      <c r="E252" t="s">
        <v>457</v>
      </c>
      <c r="F252" t="s">
        <v>503</v>
      </c>
      <c r="G252" t="s">
        <v>92</v>
      </c>
      <c r="H252">
        <v>4032.14560909188</v>
      </c>
      <c r="I252">
        <v>3663.6482690453099</v>
      </c>
      <c r="J252">
        <v>3976.5395691501599</v>
      </c>
      <c r="K252">
        <v>4149.0360314654999</v>
      </c>
      <c r="L252">
        <v>4163.6904830867097</v>
      </c>
      <c r="M252">
        <v>3718</v>
      </c>
    </row>
    <row r="253" spans="5:13" x14ac:dyDescent="0.25">
      <c r="E253" t="s">
        <v>458</v>
      </c>
      <c r="F253" t="s">
        <v>503</v>
      </c>
      <c r="G253" t="s">
        <v>93</v>
      </c>
      <c r="H253">
        <v>3968.0263324389698</v>
      </c>
      <c r="I253">
        <v>3637.5297131621001</v>
      </c>
      <c r="J253">
        <v>3983.3160945848499</v>
      </c>
      <c r="K253">
        <v>4086.3365658182802</v>
      </c>
      <c r="L253">
        <v>4101.5934145903702</v>
      </c>
      <c r="M253">
        <v>3743</v>
      </c>
    </row>
    <row r="254" spans="5:13" x14ac:dyDescent="0.25">
      <c r="E254" t="s">
        <v>459</v>
      </c>
      <c r="F254" t="s">
        <v>503</v>
      </c>
      <c r="G254" t="s">
        <v>94</v>
      </c>
      <c r="H254">
        <v>4089.4651190876498</v>
      </c>
      <c r="I254">
        <v>3695.8833491730702</v>
      </c>
      <c r="J254">
        <v>4081.1500257959601</v>
      </c>
      <c r="K254">
        <v>4162.5548686176498</v>
      </c>
      <c r="L254">
        <v>4198.7540224005197</v>
      </c>
      <c r="M254">
        <v>3799</v>
      </c>
    </row>
    <row r="255" spans="5:13" x14ac:dyDescent="0.25">
      <c r="E255" t="s">
        <v>460</v>
      </c>
      <c r="F255" t="s">
        <v>503</v>
      </c>
      <c r="G255" t="s">
        <v>95</v>
      </c>
      <c r="H255">
        <v>4079.1452126693598</v>
      </c>
      <c r="I255">
        <v>3697.8751904921901</v>
      </c>
      <c r="J255">
        <v>4044.2814139979901</v>
      </c>
      <c r="K255">
        <v>4149.0865382365801</v>
      </c>
      <c r="L255">
        <v>4145.4455751142596</v>
      </c>
      <c r="M255">
        <v>3804</v>
      </c>
    </row>
    <row r="256" spans="5:13" x14ac:dyDescent="0.25">
      <c r="E256" t="s">
        <v>461</v>
      </c>
      <c r="F256" t="s">
        <v>503</v>
      </c>
      <c r="G256" t="s">
        <v>96</v>
      </c>
      <c r="H256">
        <v>4081.8495050537399</v>
      </c>
      <c r="I256">
        <v>3723.11280957693</v>
      </c>
      <c r="J256">
        <v>4131.3855901852603</v>
      </c>
      <c r="K256">
        <v>4163.4024702837896</v>
      </c>
      <c r="L256">
        <v>4179.9832021246602</v>
      </c>
      <c r="M256">
        <v>3801</v>
      </c>
    </row>
    <row r="257" spans="5:13" x14ac:dyDescent="0.25">
      <c r="E257" t="s">
        <v>462</v>
      </c>
      <c r="F257" t="s">
        <v>503</v>
      </c>
      <c r="G257" t="s">
        <v>97</v>
      </c>
      <c r="H257">
        <v>4098.1561889147897</v>
      </c>
      <c r="I257">
        <v>3741.4242230632299</v>
      </c>
      <c r="J257">
        <v>4184.4460487863698</v>
      </c>
      <c r="K257">
        <v>4192.3728522309902</v>
      </c>
      <c r="L257">
        <v>4179.1162505392404</v>
      </c>
      <c r="M257">
        <v>3765</v>
      </c>
    </row>
    <row r="258" spans="5:13" x14ac:dyDescent="0.25">
      <c r="E258" t="s">
        <v>463</v>
      </c>
      <c r="F258" t="s">
        <v>503</v>
      </c>
      <c r="G258" t="s">
        <v>98</v>
      </c>
      <c r="H258">
        <v>4118.3471930217702</v>
      </c>
      <c r="I258">
        <v>3779.8513766373799</v>
      </c>
      <c r="J258">
        <v>4175.02888235505</v>
      </c>
      <c r="K258">
        <v>4230.9449093762596</v>
      </c>
      <c r="L258">
        <v>4249.5707407161799</v>
      </c>
      <c r="M258">
        <v>3872</v>
      </c>
    </row>
    <row r="259" spans="5:13" x14ac:dyDescent="0.25">
      <c r="E259" t="s">
        <v>464</v>
      </c>
      <c r="F259" t="s">
        <v>503</v>
      </c>
      <c r="G259" t="s">
        <v>99</v>
      </c>
      <c r="H259">
        <v>4092.2662542509402</v>
      </c>
      <c r="I259">
        <v>3765.72552093176</v>
      </c>
      <c r="J259">
        <v>4175.3914386342103</v>
      </c>
      <c r="K259">
        <v>4178.4599611820404</v>
      </c>
      <c r="L259">
        <v>4200.1040468935198</v>
      </c>
      <c r="M259">
        <v>3868</v>
      </c>
    </row>
    <row r="260" spans="5:13" x14ac:dyDescent="0.25">
      <c r="E260" t="s">
        <v>465</v>
      </c>
      <c r="F260" t="s">
        <v>503</v>
      </c>
      <c r="G260" t="s">
        <v>100</v>
      </c>
      <c r="H260">
        <v>4047.3731096060501</v>
      </c>
      <c r="I260">
        <v>3742.45026696593</v>
      </c>
      <c r="J260">
        <v>4173.7756085979299</v>
      </c>
      <c r="K260">
        <v>4145.7006736987796</v>
      </c>
      <c r="L260">
        <v>4208.9544146942599</v>
      </c>
      <c r="M260">
        <v>3902</v>
      </c>
    </row>
    <row r="261" spans="5:13" x14ac:dyDescent="0.25">
      <c r="E261" t="s">
        <v>466</v>
      </c>
      <c r="F261" t="s">
        <v>503</v>
      </c>
      <c r="G261" t="s">
        <v>101</v>
      </c>
      <c r="H261">
        <v>4059.9371304330898</v>
      </c>
      <c r="I261">
        <v>3756.57211085273</v>
      </c>
      <c r="J261">
        <v>4193.8943567442002</v>
      </c>
      <c r="K261">
        <v>4212.4797821873199</v>
      </c>
      <c r="L261">
        <v>4233.2132352209601</v>
      </c>
      <c r="M261">
        <v>3869</v>
      </c>
    </row>
    <row r="262" spans="5:13" x14ac:dyDescent="0.25">
      <c r="E262" t="s">
        <v>467</v>
      </c>
      <c r="F262" t="s">
        <v>503</v>
      </c>
      <c r="G262" t="s">
        <v>103</v>
      </c>
      <c r="H262">
        <v>4099.1655451834204</v>
      </c>
      <c r="I262">
        <v>3792.4214657287998</v>
      </c>
      <c r="J262">
        <v>4109.5216268940503</v>
      </c>
      <c r="K262">
        <v>4259.6327395259204</v>
      </c>
      <c r="L262">
        <v>4249.3843863468201</v>
      </c>
      <c r="M262">
        <v>3859</v>
      </c>
    </row>
    <row r="263" spans="5:13" x14ac:dyDescent="0.25">
      <c r="E263" t="s">
        <v>468</v>
      </c>
      <c r="F263" t="s">
        <v>503</v>
      </c>
      <c r="G263" t="s">
        <v>104</v>
      </c>
      <c r="H263">
        <v>4136.2618804248104</v>
      </c>
      <c r="I263">
        <v>3806.5956031513701</v>
      </c>
      <c r="J263">
        <v>4208.5865710329099</v>
      </c>
      <c r="K263">
        <v>4286.30084307795</v>
      </c>
      <c r="L263">
        <v>4306.5947732528502</v>
      </c>
      <c r="M263">
        <v>3920</v>
      </c>
    </row>
    <row r="264" spans="5:13" x14ac:dyDescent="0.25">
      <c r="E264" t="s">
        <v>469</v>
      </c>
      <c r="F264" t="s">
        <v>503</v>
      </c>
      <c r="G264" t="s">
        <v>105</v>
      </c>
      <c r="H264">
        <v>4144.9019342810998</v>
      </c>
      <c r="I264">
        <v>3813.2539204586001</v>
      </c>
      <c r="J264">
        <v>4224.3636048861299</v>
      </c>
      <c r="K264">
        <v>4302.7430584739895</v>
      </c>
      <c r="L264">
        <v>4324.3517528802804</v>
      </c>
      <c r="M264">
        <v>3922</v>
      </c>
    </row>
    <row r="265" spans="5:13" x14ac:dyDescent="0.25">
      <c r="E265" t="s">
        <v>470</v>
      </c>
      <c r="F265" t="s">
        <v>503</v>
      </c>
      <c r="G265" t="s">
        <v>106</v>
      </c>
      <c r="H265">
        <v>4089.3229984249801</v>
      </c>
      <c r="I265">
        <v>3798.55008542011</v>
      </c>
      <c r="J265">
        <v>4342.8071734451696</v>
      </c>
      <c r="K265">
        <v>4226.8828519057697</v>
      </c>
      <c r="L265">
        <v>4248.8457267741096</v>
      </c>
      <c r="M265">
        <v>3844</v>
      </c>
    </row>
    <row r="266" spans="5:13" x14ac:dyDescent="0.25">
      <c r="E266" t="s">
        <v>471</v>
      </c>
      <c r="F266" t="s">
        <v>503</v>
      </c>
      <c r="G266" t="s">
        <v>107</v>
      </c>
      <c r="H266">
        <v>4177.1256147364502</v>
      </c>
      <c r="I266">
        <v>3834.5514610109999</v>
      </c>
      <c r="J266">
        <v>4359.2503209072502</v>
      </c>
      <c r="K266">
        <v>4338.3004184847296</v>
      </c>
      <c r="L266">
        <v>4360.1080003766601</v>
      </c>
      <c r="M266">
        <v>3808</v>
      </c>
    </row>
    <row r="267" spans="5:13" x14ac:dyDescent="0.25">
      <c r="E267" t="s">
        <v>472</v>
      </c>
      <c r="F267" t="s">
        <v>503</v>
      </c>
      <c r="G267" t="s">
        <v>108</v>
      </c>
      <c r="H267">
        <v>4233.3579332632598</v>
      </c>
      <c r="I267">
        <v>3976.1936839145801</v>
      </c>
      <c r="J267">
        <v>4471.3575940813298</v>
      </c>
      <c r="K267">
        <v>4365.2402931160896</v>
      </c>
      <c r="L267">
        <v>4386.8109195159604</v>
      </c>
      <c r="M267">
        <v>3981</v>
      </c>
    </row>
    <row r="268" spans="5:13" x14ac:dyDescent="0.25">
      <c r="E268" t="s">
        <v>473</v>
      </c>
      <c r="F268" t="s">
        <v>503</v>
      </c>
      <c r="G268" t="s">
        <v>110</v>
      </c>
      <c r="H268">
        <v>4253.6956355818702</v>
      </c>
      <c r="I268">
        <v>4102.9682438664904</v>
      </c>
      <c r="J268">
        <v>4410.6813118760801</v>
      </c>
      <c r="K268">
        <v>4425.3989270004304</v>
      </c>
      <c r="L268">
        <v>4448.6938700389701</v>
      </c>
      <c r="M268">
        <v>4137</v>
      </c>
    </row>
    <row r="269" spans="5:13" x14ac:dyDescent="0.25">
      <c r="E269" t="s">
        <v>474</v>
      </c>
      <c r="F269" t="s">
        <v>503</v>
      </c>
      <c r="G269" t="s">
        <v>111</v>
      </c>
      <c r="H269">
        <v>4318.05057391019</v>
      </c>
      <c r="I269">
        <v>4125.1075285985798</v>
      </c>
      <c r="J269">
        <v>4513.3279530104901</v>
      </c>
      <c r="K269">
        <v>4472.0764625947504</v>
      </c>
      <c r="L269">
        <v>4491.2518432598799</v>
      </c>
      <c r="M269">
        <v>4225</v>
      </c>
    </row>
    <row r="270" spans="5:13" x14ac:dyDescent="0.25">
      <c r="E270" t="s">
        <v>475</v>
      </c>
      <c r="F270" t="s">
        <v>503</v>
      </c>
      <c r="G270" t="s">
        <v>112</v>
      </c>
      <c r="H270">
        <v>4479.2035229551802</v>
      </c>
      <c r="I270">
        <v>4070.7777434264699</v>
      </c>
      <c r="J270">
        <v>4381.4562000136602</v>
      </c>
      <c r="K270">
        <v>4603.7423022763996</v>
      </c>
      <c r="L270">
        <v>4632.3488193830299</v>
      </c>
      <c r="M270">
        <v>4059</v>
      </c>
    </row>
    <row r="271" spans="5:13" x14ac:dyDescent="0.25">
      <c r="E271" t="s">
        <v>476</v>
      </c>
      <c r="F271" t="s">
        <v>503</v>
      </c>
      <c r="G271" t="s">
        <v>113</v>
      </c>
      <c r="H271">
        <v>4422.3642079068804</v>
      </c>
      <c r="I271">
        <v>4013.3725414833898</v>
      </c>
      <c r="J271">
        <v>4237.3745474328498</v>
      </c>
      <c r="K271">
        <v>4556.5143943146904</v>
      </c>
      <c r="L271">
        <v>4571.1352583308399</v>
      </c>
      <c r="M271">
        <v>4039</v>
      </c>
    </row>
    <row r="272" spans="5:13" x14ac:dyDescent="0.25">
      <c r="E272" t="s">
        <v>477</v>
      </c>
      <c r="F272" t="s">
        <v>503</v>
      </c>
      <c r="G272" t="s">
        <v>114</v>
      </c>
      <c r="H272">
        <v>4373.8562373015802</v>
      </c>
      <c r="I272">
        <v>3915.2033334590801</v>
      </c>
      <c r="J272">
        <v>4252.8319466678804</v>
      </c>
      <c r="K272">
        <v>4479.5062303338</v>
      </c>
      <c r="L272">
        <v>4493.0460189112</v>
      </c>
      <c r="M272">
        <v>3997</v>
      </c>
    </row>
    <row r="273" spans="5:13" x14ac:dyDescent="0.25">
      <c r="E273" t="s">
        <v>478</v>
      </c>
      <c r="F273" t="s">
        <v>503</v>
      </c>
      <c r="G273" t="s">
        <v>115</v>
      </c>
      <c r="H273">
        <v>4208.4645071622599</v>
      </c>
      <c r="I273">
        <v>3776.9127707385801</v>
      </c>
      <c r="J273">
        <v>4257.4278242033697</v>
      </c>
      <c r="K273">
        <v>4297.3353363941196</v>
      </c>
      <c r="L273">
        <v>4326.6991031384696</v>
      </c>
      <c r="M273">
        <v>3908</v>
      </c>
    </row>
    <row r="274" spans="5:13" x14ac:dyDescent="0.25">
      <c r="E274" t="s">
        <v>479</v>
      </c>
      <c r="F274" t="s">
        <v>503</v>
      </c>
      <c r="G274" t="s">
        <v>116</v>
      </c>
      <c r="H274">
        <v>3887.7980984423698</v>
      </c>
      <c r="I274">
        <v>3487.7731447701799</v>
      </c>
      <c r="J274">
        <v>4022.0764421182198</v>
      </c>
      <c r="K274">
        <v>3972.4072108945002</v>
      </c>
      <c r="L274">
        <v>4031.8497431780402</v>
      </c>
      <c r="M274">
        <v>3699</v>
      </c>
    </row>
    <row r="275" spans="5:13" x14ac:dyDescent="0.25">
      <c r="E275" t="s">
        <v>480</v>
      </c>
      <c r="F275" t="s">
        <v>503</v>
      </c>
      <c r="G275" t="s">
        <v>117</v>
      </c>
      <c r="H275">
        <v>3787.6139308423199</v>
      </c>
      <c r="I275">
        <v>3349.8211764049502</v>
      </c>
      <c r="J275">
        <v>3738.0364237153199</v>
      </c>
      <c r="K275">
        <v>3854.8007284607402</v>
      </c>
      <c r="L275">
        <v>3877.53919203339</v>
      </c>
      <c r="M275">
        <v>3548</v>
      </c>
    </row>
    <row r="276" spans="5:13" x14ac:dyDescent="0.25">
      <c r="E276" t="s">
        <v>481</v>
      </c>
      <c r="F276" t="s">
        <v>503</v>
      </c>
      <c r="G276" t="s">
        <v>118</v>
      </c>
      <c r="H276">
        <v>3648.3012677272</v>
      </c>
      <c r="I276">
        <v>3276.2678084566301</v>
      </c>
      <c r="J276">
        <v>3591.6536026877402</v>
      </c>
      <c r="K276">
        <v>3790.8885870377799</v>
      </c>
      <c r="L276">
        <v>3804.2635585488501</v>
      </c>
      <c r="M276">
        <v>3432</v>
      </c>
    </row>
    <row r="277" spans="5:13" x14ac:dyDescent="0.25">
      <c r="E277" t="s">
        <v>482</v>
      </c>
      <c r="F277" t="s">
        <v>503</v>
      </c>
      <c r="G277" t="s">
        <v>119</v>
      </c>
      <c r="H277">
        <v>3611.3752213405201</v>
      </c>
      <c r="I277">
        <v>3194.6455839557798</v>
      </c>
      <c r="J277">
        <v>3572.6840344989801</v>
      </c>
      <c r="K277">
        <v>3756.7666311430098</v>
      </c>
      <c r="L277">
        <v>3773.6470334574001</v>
      </c>
      <c r="M277">
        <v>3321</v>
      </c>
    </row>
    <row r="278" spans="5:13" x14ac:dyDescent="0.25">
      <c r="E278" t="s">
        <v>483</v>
      </c>
      <c r="F278" t="s">
        <v>503</v>
      </c>
      <c r="G278" t="s">
        <v>120</v>
      </c>
      <c r="H278">
        <v>3232.1092944934198</v>
      </c>
      <c r="I278">
        <v>2846.1777305952301</v>
      </c>
      <c r="J278">
        <v>3442.0502694799802</v>
      </c>
      <c r="K278">
        <v>3341.0041520053201</v>
      </c>
      <c r="L278">
        <v>3360.6838113521098</v>
      </c>
      <c r="M278">
        <v>3041</v>
      </c>
    </row>
    <row r="279" spans="5:13" x14ac:dyDescent="0.25">
      <c r="E279" t="s">
        <v>484</v>
      </c>
      <c r="F279" t="s">
        <v>503</v>
      </c>
      <c r="G279" t="s">
        <v>121</v>
      </c>
      <c r="H279">
        <v>3203.07799927224</v>
      </c>
      <c r="I279">
        <v>2799.41033861406</v>
      </c>
      <c r="J279">
        <v>3275.0887406560801</v>
      </c>
      <c r="K279">
        <v>3337.8670329085598</v>
      </c>
      <c r="L279">
        <v>3356.6800576789401</v>
      </c>
      <c r="M279">
        <v>2962</v>
      </c>
    </row>
    <row r="280" spans="5:13" x14ac:dyDescent="0.25">
      <c r="E280" t="s">
        <v>485</v>
      </c>
      <c r="F280" t="s">
        <v>503</v>
      </c>
      <c r="G280" t="s">
        <v>123</v>
      </c>
      <c r="H280">
        <v>2997.3717679850201</v>
      </c>
      <c r="I280">
        <v>2701.8409596679599</v>
      </c>
      <c r="J280">
        <v>3173.2773816162398</v>
      </c>
      <c r="K280">
        <v>3133.7122686654402</v>
      </c>
      <c r="L280">
        <v>3152.3064828874499</v>
      </c>
      <c r="M280">
        <v>2902</v>
      </c>
    </row>
    <row r="281" spans="5:13" x14ac:dyDescent="0.25">
      <c r="E281" t="s">
        <v>486</v>
      </c>
      <c r="F281" t="s">
        <v>503</v>
      </c>
      <c r="G281" t="s">
        <v>124</v>
      </c>
      <c r="H281">
        <v>2987.6109466477401</v>
      </c>
      <c r="I281">
        <v>2669.3307747704098</v>
      </c>
      <c r="J281">
        <v>3223.4585480645401</v>
      </c>
      <c r="K281">
        <v>3101.5381093916299</v>
      </c>
      <c r="L281">
        <v>3118.6167995558399</v>
      </c>
      <c r="M281">
        <v>2879</v>
      </c>
    </row>
    <row r="282" spans="5:13" x14ac:dyDescent="0.25">
      <c r="E282" t="s">
        <v>487</v>
      </c>
      <c r="F282" t="s">
        <v>503</v>
      </c>
      <c r="G282" t="s">
        <v>125</v>
      </c>
      <c r="H282">
        <v>3144.3248361279602</v>
      </c>
      <c r="I282">
        <v>2823.1149977527298</v>
      </c>
      <c r="J282">
        <v>3195.7539187287298</v>
      </c>
      <c r="K282">
        <v>3274.2212790799999</v>
      </c>
      <c r="L282">
        <v>3292.2563392074699</v>
      </c>
      <c r="M282">
        <v>3107</v>
      </c>
    </row>
    <row r="283" spans="5:13" x14ac:dyDescent="0.25">
      <c r="E283" t="s">
        <v>488</v>
      </c>
      <c r="F283" t="s">
        <v>503</v>
      </c>
      <c r="G283" t="s">
        <v>126</v>
      </c>
      <c r="H283">
        <v>3252.1252305141102</v>
      </c>
      <c r="I283">
        <v>2875.4685478830702</v>
      </c>
      <c r="J283">
        <v>3285.9476727924498</v>
      </c>
      <c r="K283">
        <v>3360.2990858431599</v>
      </c>
      <c r="L283">
        <v>3377.1935101885401</v>
      </c>
      <c r="M283">
        <v>3073</v>
      </c>
    </row>
    <row r="284" spans="5:13" x14ac:dyDescent="0.25">
      <c r="E284" t="s">
        <v>489</v>
      </c>
      <c r="F284" t="s">
        <v>503</v>
      </c>
      <c r="G284" t="s">
        <v>127</v>
      </c>
      <c r="H284">
        <v>3126.3521952104702</v>
      </c>
      <c r="I284">
        <v>2798.6381595480898</v>
      </c>
      <c r="J284">
        <v>3260.6733215730801</v>
      </c>
      <c r="K284">
        <v>3234.7198750535499</v>
      </c>
      <c r="L284">
        <v>3244.1107291854501</v>
      </c>
      <c r="M284">
        <v>3031</v>
      </c>
    </row>
    <row r="285" spans="5:13" x14ac:dyDescent="0.25">
      <c r="E285" t="s">
        <v>490</v>
      </c>
      <c r="F285" t="s">
        <v>503</v>
      </c>
      <c r="G285" t="s">
        <v>128</v>
      </c>
      <c r="H285">
        <v>3050.7316840407402</v>
      </c>
      <c r="I285">
        <v>2730.3548277302998</v>
      </c>
      <c r="J285">
        <v>3203.3997070262699</v>
      </c>
      <c r="K285">
        <v>3168.8893349309401</v>
      </c>
      <c r="L285">
        <v>3179.26677828942</v>
      </c>
      <c r="M285">
        <v>3000</v>
      </c>
    </row>
    <row r="286" spans="5:13" x14ac:dyDescent="0.25">
      <c r="E286" t="s">
        <v>491</v>
      </c>
      <c r="F286" t="s">
        <v>503</v>
      </c>
      <c r="G286" t="s">
        <v>129</v>
      </c>
      <c r="H286">
        <v>2929.4940895028799</v>
      </c>
      <c r="I286">
        <v>2618.4053523867701</v>
      </c>
      <c r="J286">
        <v>3074.85622404897</v>
      </c>
      <c r="K286">
        <v>3059.7577430227202</v>
      </c>
      <c r="L286">
        <v>3066.2460008694802</v>
      </c>
      <c r="M286">
        <v>2863</v>
      </c>
    </row>
    <row r="287" spans="5:13" x14ac:dyDescent="0.25">
      <c r="E287" t="s">
        <v>492</v>
      </c>
      <c r="F287" t="s">
        <v>503</v>
      </c>
      <c r="G287" t="s">
        <v>130</v>
      </c>
      <c r="H287">
        <v>2938.6940135032801</v>
      </c>
      <c r="I287">
        <v>2588.8064932038401</v>
      </c>
      <c r="J287">
        <v>3014.1444394107598</v>
      </c>
      <c r="K287">
        <v>3067.0736157166002</v>
      </c>
      <c r="L287">
        <v>3078.3651691292798</v>
      </c>
      <c r="M287">
        <v>2857</v>
      </c>
    </row>
    <row r="288" spans="5:13" x14ac:dyDescent="0.25">
      <c r="E288" t="s">
        <v>493</v>
      </c>
      <c r="F288" t="s">
        <v>503</v>
      </c>
      <c r="G288" t="s">
        <v>131</v>
      </c>
      <c r="H288">
        <v>2942.4438004777098</v>
      </c>
      <c r="I288">
        <v>2582.1236515718001</v>
      </c>
      <c r="J288">
        <v>2933.5235389920699</v>
      </c>
      <c r="K288">
        <v>3095.7228105722702</v>
      </c>
      <c r="L288">
        <v>3109.4592122573599</v>
      </c>
      <c r="M288">
        <v>2914</v>
      </c>
    </row>
    <row r="289" spans="5:13" x14ac:dyDescent="0.25">
      <c r="E289" t="s">
        <v>494</v>
      </c>
      <c r="F289" t="s">
        <v>503</v>
      </c>
      <c r="G289" t="s">
        <v>132</v>
      </c>
      <c r="H289">
        <v>2943.7238831629402</v>
      </c>
      <c r="I289">
        <v>2569.6003915115398</v>
      </c>
      <c r="J289">
        <v>2952.2603978766401</v>
      </c>
      <c r="K289">
        <v>3099.3963363118201</v>
      </c>
      <c r="L289">
        <v>3113.6376112385301</v>
      </c>
      <c r="M289">
        <v>2907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0</xdr:col>
                <xdr:colOff>504825</xdr:colOff>
                <xdr:row>2</xdr:row>
                <xdr:rowOff>9525</xdr:rowOff>
              </from>
              <to>
                <xdr:col>3</xdr:col>
                <xdr:colOff>228600</xdr:colOff>
                <xdr:row>4</xdr:row>
                <xdr:rowOff>19050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Sheet3</vt:lpstr>
      <vt:lpstr>Multi_Period</vt:lpstr>
      <vt:lpstr>DT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A480628</dc:creator>
  <cp:lastModifiedBy>Sethia, Shilpa</cp:lastModifiedBy>
  <dcterms:created xsi:type="dcterms:W3CDTF">2014-12-16T16:37:03Z</dcterms:created>
  <dcterms:modified xsi:type="dcterms:W3CDTF">2015-02-24T02:42:55Z</dcterms:modified>
</cp:coreProperties>
</file>